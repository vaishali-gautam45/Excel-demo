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07533602FD79ED70/Desktop/Vaishali/"/>
    </mc:Choice>
  </mc:AlternateContent>
  <xr:revisionPtr revIDLastSave="786" documentId="8_{06C271DE-ABB4-424B-8DEC-86D752A8890C}" xr6:coauthVersionLast="47" xr6:coauthVersionMax="47" xr10:uidLastSave="{C4C825A0-6F05-41FB-9383-62715BF120C4}"/>
  <bookViews>
    <workbookView minimized="1" xWindow="1008" yWindow="4284" windowWidth="22032" windowHeight="6000" activeTab="1" xr2:uid="{88308014-AE26-4A16-9050-2229FA09DF29}"/>
  </bookViews>
  <sheets>
    <sheet name="Sheet1" sheetId="1" r:id="rId1"/>
    <sheet name="Sheet2" sheetId="2" r:id="rId2"/>
  </sheets>
  <definedNames>
    <definedName name="Slicer_Date__Month">#N/A</definedName>
    <definedName name="Slic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1b42337-ce6d-44f6-a262-197fd9f5642c" name="Hospital Emergency Room Data" connection="Query - Hospital Emergency Room Data"/>
          <x15:modelTable id="Calendar Table_90b43f4e-046d-48a5-b94c-5d311c9c18c2"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8" i="1" l="1"/>
  <c r="D47" i="1"/>
  <c r="C48" i="1"/>
  <c r="C47" i="1"/>
  <c r="B48" i="1"/>
  <c r="B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3A4A47-14EE-4FD8-8096-2A391D867FAC}" name="Query - Calendar Table" description="Connection to the 'Calendar Table' query in the workbook." type="100" refreshedVersion="8" minRefreshableVersion="5">
    <extLst>
      <ext xmlns:x15="http://schemas.microsoft.com/office/spreadsheetml/2010/11/main" uri="{DE250136-89BD-433C-8126-D09CA5730AF9}">
        <x15:connection id="531aab21-b53d-43b7-8270-7aa993a6ef65"/>
      </ext>
    </extLst>
  </connection>
  <connection id="2" xr16:uid="{D2A8DCF1-AF1D-4828-891A-68CFAD07424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f8e307c-dc31-43e6-8ad6-59d62452a08f"/>
      </ext>
    </extLst>
  </connection>
  <connection id="3" xr16:uid="{05F128C2-7D3C-4A76-BDA2-91A149D257E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<sst xmlns="http://schemas.openxmlformats.org/spreadsheetml/2006/main" count="53" uniqueCount="37">
  <si>
    <t>Distinct Count of Patient Id</t>
  </si>
  <si>
    <t>Average of Patient Waittime</t>
  </si>
  <si>
    <t>Average of Patient Satisfaction Score</t>
  </si>
  <si>
    <t>Row Labels</t>
  </si>
  <si>
    <t>Grand Total</t>
  </si>
  <si>
    <t>Admitted</t>
  </si>
  <si>
    <t>Not Admitted</t>
  </si>
  <si>
    <t>Count of Patient Admission Flag</t>
  </si>
  <si>
    <t>Count of Patient Id</t>
  </si>
  <si>
    <t>Count of Patient Admission Flag2</t>
  </si>
  <si>
    <t>Admission Status</t>
  </si>
  <si>
    <t>% Status</t>
  </si>
  <si>
    <t>Patient</t>
  </si>
  <si>
    <t>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</si>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</sst>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font>
    <font>
      <b/>
      <sz val="11"/>
      <color theme="1"/>
      <name val="Calibri"/>
      <family val="2"/>
    </font>
    <font>
      <sz val="11"/>
      <color theme="0"/>
      <name val="Calibri"/>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tint="-0.499984740745262"/>
        <bgColor indexed="64"/>
      </patternFill>
    </fill>
    <fill>
      <patternFill patternType="solid">
        <fgColor theme="4"/>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1" fillId="2" borderId="1" xfId="0" applyFont="1" applyFill="1" applyBorder="1"/>
    <xf numFmtId="2" fontId="0" fillId="0" borderId="0" xfId="0" applyNumberFormat="1"/>
    <xf numFmtId="0" fontId="0" fillId="3" borderId="0" xfId="0" applyFill="1"/>
    <xf numFmtId="0" fontId="0" fillId="0" borderId="0" xfId="0" pivotButton="1"/>
    <xf numFmtId="14" fontId="0" fillId="0" borderId="0" xfId="0" applyNumberFormat="1" applyAlignment="1">
      <alignment horizontal="left"/>
    </xf>
    <xf numFmtId="0" fontId="0" fillId="0" borderId="0" xfId="0" applyAlignment="1">
      <alignment horizontal="left"/>
    </xf>
    <xf numFmtId="1" fontId="0" fillId="0" borderId="0" xfId="0" applyNumberFormat="1"/>
    <xf numFmtId="10" fontId="0" fillId="0" borderId="0" xfId="0" applyNumberFormat="1"/>
    <xf numFmtId="9" fontId="0" fillId="0" borderId="0" xfId="0" applyNumberFormat="1"/>
    <xf numFmtId="0" fontId="2" fillId="5" borderId="0" xfId="0" applyFont="1" applyFill="1" applyAlignment="1">
      <alignment horizontal="center"/>
    </xf>
    <xf numFmtId="0" fontId="2" fillId="4" borderId="0" xfId="0" applyFont="1" applyFill="1" applyAlignment="1">
      <alignment horizontal="left"/>
    </xf>
    <xf numFmtId="9" fontId="0" fillId="0" borderId="0" xfId="0" applyNumberFormat="1" applyAlignment="1">
      <alignment horizontal="left"/>
    </xf>
    <xf numFmtId="0" fontId="2" fillId="5" borderId="0" xfId="0" applyFont="1" applyFill="1" applyAlignment="1">
      <alignment horizontal="left"/>
    </xf>
  </cellXfs>
  <cellStyles count="1">
    <cellStyle name="Normal" xfId="0" builtinId="0"/>
  </cellStyles>
  <dxfs count="18">
    <dxf>
      <numFmt numFmtId="1" formatCode="0"/>
    </dxf>
    <dxf>
      <numFmt numFmtId="1" formatCode="0"/>
    </dxf>
    <dxf>
      <numFmt numFmtId="1" formatCode="0"/>
    </dxf>
    <dxf>
      <numFmt numFmtId="2" formatCode="0.00"/>
    </dxf>
    <dxf>
      <numFmt numFmtId="2" formatCode="0.00"/>
    </dxf>
    <dxf>
      <numFmt numFmtId="1" formatCode="0"/>
    </dxf>
    <dxf>
      <numFmt numFmtId="13" formatCode="0%"/>
    </dxf>
    <dxf>
      <numFmt numFmtId="13" formatCode="0%"/>
    </dxf>
    <dxf>
      <numFmt numFmtId="14" formatCode="0.00%"/>
    </dxf>
    <dxf>
      <numFmt numFmtId="1" formatCode="0"/>
    </dxf>
    <dxf>
      <numFmt numFmtId="1" formatCode="0"/>
    </dxf>
    <dxf>
      <numFmt numFmtId="2" formatCode="0.00"/>
    </dxf>
    <dxf>
      <numFmt numFmtId="2" formatCode="0.00"/>
    </dxf>
    <dxf>
      <numFmt numFmtId="2" formatCode="0.00"/>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s>
  <tableStyles count="3" defaultTableStyle="TableStyleMedium2" defaultPivotStyle="PivotStyleLight16">
    <tableStyle name="Slicer Style " pivot="0" table="0" count="0" xr9:uid="{E86B15F2-431F-46C9-9535-4F54D09C8FF1}"/>
    <tableStyle name="SlicerStyleDark2 " pivot="0" table="0" count="10" xr9:uid="{0D88DDE2-8716-443B-A982-183F213E46B3}">
      <tableStyleElement type="wholeTable" dxfId="17"/>
      <tableStyleElement type="headerRow" dxfId="16"/>
    </tableStyle>
    <tableStyle name="SlicerStyleDark2 3" pivot="0" table="0" count="10" xr9:uid="{4ABC1BD1-9FB4-4842-AC87-C0FBB0DE380A}">
      <tableStyleElement type="wholeTable" dxfId="15"/>
      <tableStyleElement type="headerRow" dxfId="1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
        <x14:slicerStyle name="SlicerStyleDark2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3" Type="http://schemas.openxmlformats.org/officeDocument/2006/relationships/pivotCacheDefinition" Target="pivotCache/pivotCacheDefinition1.xml"/><Relationship Id="rId21" Type="http://schemas.openxmlformats.org/officeDocument/2006/relationships/powerPivotData" Target="model/item.data"/><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8.xml"/><Relationship Id="rId19"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17/10/relationships/person" Target="persons/perso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Project.xlsx]Sheet1!PivotTable7</c:name>
    <c:fmtId val="23"/>
  </c:pivotSource>
  <c:chart>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2.1066513027334997E-2"/>
          <c:y val="0"/>
          <c:w val="0.74864093207861226"/>
          <c:h val="1"/>
        </c:manualLayout>
      </c:layout>
      <c:barChart>
        <c:barDir val="bar"/>
        <c:grouping val="clustered"/>
        <c:varyColors val="0"/>
        <c:ser>
          <c:idx val="0"/>
          <c:order val="0"/>
          <c:tx>
            <c:strRef>
              <c:f>Sheet1!$C$40</c:f>
              <c:strCache>
                <c:ptCount val="1"/>
                <c:pt idx="0">
                  <c:v>Count of Patient Admission Flag</c:v>
                </c:pt>
              </c:strCache>
            </c:strRef>
          </c:tx>
          <c:invertIfNegative val="0"/>
          <c:dLbls>
            <c:delete val="1"/>
          </c:dLbls>
          <c:cat>
            <c:strRef>
              <c:f>Sheet1!$B$41:$B$43</c:f>
              <c:strCache>
                <c:ptCount val="2"/>
                <c:pt idx="0">
                  <c:v>Admitted</c:v>
                </c:pt>
                <c:pt idx="1">
                  <c:v>Not Admitted</c:v>
                </c:pt>
              </c:strCache>
            </c:strRef>
          </c:cat>
          <c:val>
            <c:numRef>
              <c:f>Sheet1!$C$41:$C$43</c:f>
              <c:numCache>
                <c:formatCode>0</c:formatCode>
                <c:ptCount val="2"/>
                <c:pt idx="0">
                  <c:v>235</c:v>
                </c:pt>
                <c:pt idx="1">
                  <c:v>250</c:v>
                </c:pt>
              </c:numCache>
            </c:numRef>
          </c:val>
          <c:extLst>
            <c:ext xmlns:c16="http://schemas.microsoft.com/office/drawing/2014/chart" uri="{C3380CC4-5D6E-409C-BE32-E72D297353CC}">
              <c16:uniqueId val="{00000002-0AF9-465B-ACFD-58FF11960B53}"/>
            </c:ext>
          </c:extLst>
        </c:ser>
        <c:ser>
          <c:idx val="1"/>
          <c:order val="1"/>
          <c:tx>
            <c:strRef>
              <c:f>Sheet1!$D$40</c:f>
              <c:strCache>
                <c:ptCount val="1"/>
                <c:pt idx="0">
                  <c:v>Count of Patient Admission Flag2</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Sheet1!$B$41:$B$43</c:f>
              <c:strCache>
                <c:ptCount val="2"/>
                <c:pt idx="0">
                  <c:v>Admitted</c:v>
                </c:pt>
                <c:pt idx="1">
                  <c:v>Not Admitted</c:v>
                </c:pt>
              </c:strCache>
            </c:strRef>
          </c:cat>
          <c:val>
            <c:numRef>
              <c:f>Sheet1!$D$41:$D$43</c:f>
              <c:numCache>
                <c:formatCode>0%</c:formatCode>
                <c:ptCount val="2"/>
                <c:pt idx="0">
                  <c:v>0.4845360824742268</c:v>
                </c:pt>
                <c:pt idx="1">
                  <c:v>0.51546391752577314</c:v>
                </c:pt>
              </c:numCache>
            </c:numRef>
          </c:val>
          <c:extLst>
            <c:ext xmlns:c16="http://schemas.microsoft.com/office/drawing/2014/chart" uri="{C3380CC4-5D6E-409C-BE32-E72D297353CC}">
              <c16:uniqueId val="{00000003-0AF9-465B-ACFD-58FF11960B53}"/>
            </c:ext>
          </c:extLst>
        </c:ser>
        <c:dLbls>
          <c:dLblPos val="outEnd"/>
          <c:showLegendKey val="0"/>
          <c:showVal val="1"/>
          <c:showCatName val="0"/>
          <c:showSerName val="0"/>
          <c:showPercent val="0"/>
          <c:showBubbleSize val="0"/>
        </c:dLbls>
        <c:gapWidth val="60"/>
        <c:axId val="400806991"/>
        <c:axId val="400809391"/>
      </c:barChart>
      <c:catAx>
        <c:axId val="400806991"/>
        <c:scaling>
          <c:orientation val="minMax"/>
        </c:scaling>
        <c:delete val="1"/>
        <c:axPos val="l"/>
        <c:numFmt formatCode="General" sourceLinked="1"/>
        <c:majorTickMark val="none"/>
        <c:minorTickMark val="none"/>
        <c:tickLblPos val="nextTo"/>
        <c:crossAx val="400809391"/>
        <c:crosses val="autoZero"/>
        <c:auto val="1"/>
        <c:lblAlgn val="ctr"/>
        <c:lblOffset val="100"/>
        <c:noMultiLvlLbl val="0"/>
      </c:catAx>
      <c:valAx>
        <c:axId val="400809391"/>
        <c:scaling>
          <c:orientation val="minMax"/>
        </c:scaling>
        <c:delete val="1"/>
        <c:axPos val="b"/>
        <c:numFmt formatCode="0" sourceLinked="1"/>
        <c:majorTickMark val="none"/>
        <c:minorTickMark val="none"/>
        <c:tickLblPos val="nextTo"/>
        <c:crossAx val="40080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Project.xlsx]Sheet1!PivotTable4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8030879942824045"/>
          <c:h val="1"/>
        </c:manualLayout>
      </c:layout>
      <c:areaChart>
        <c:grouping val="standard"/>
        <c:varyColors val="0"/>
        <c:ser>
          <c:idx val="0"/>
          <c:order val="0"/>
          <c:tx>
            <c:strRef>
              <c:f>Sheet1!$B$4</c:f>
              <c:strCache>
                <c:ptCount val="1"/>
                <c:pt idx="0">
                  <c:v>Total</c:v>
                </c:pt>
              </c:strCache>
            </c:strRef>
          </c:tx>
          <c:spPr>
            <a:solidFill>
              <a:schemeClr val="accent1">
                <a:lumMod val="75000"/>
              </a:schemeClr>
            </a:solidFill>
            <a:ln w="25400">
              <a:noFill/>
            </a:ln>
            <a:effectLst/>
          </c:spPr>
          <c:cat>
            <c:strRef>
              <c:f>Sheet1!$A$5:$A$35</c:f>
              <c:strCache>
                <c:ptCount val="30"/>
                <c:pt idx="0">
                  <c:v>01-06-2024</c:v>
                </c:pt>
                <c:pt idx="1">
                  <c:v>02-06-2024</c:v>
                </c:pt>
                <c:pt idx="2">
                  <c:v>03-06-2024</c:v>
                </c:pt>
                <c:pt idx="3">
                  <c:v>04-06-2024</c:v>
                </c:pt>
                <c:pt idx="4">
                  <c:v>05-06-2024</c:v>
                </c:pt>
                <c:pt idx="5">
                  <c:v>06-06-2024</c:v>
                </c:pt>
                <c:pt idx="6">
                  <c:v>07-06-2024</c:v>
                </c:pt>
                <c:pt idx="7">
                  <c:v>08-06-2024</c:v>
                </c:pt>
                <c:pt idx="8">
                  <c:v>09-06-2024</c:v>
                </c:pt>
                <c:pt idx="9">
                  <c:v>10-06-2024</c:v>
                </c:pt>
                <c:pt idx="10">
                  <c:v>11-06-2024</c:v>
                </c:pt>
                <c:pt idx="11">
                  <c:v>12-06-2024</c:v>
                </c:pt>
                <c:pt idx="12">
                  <c:v>13-06-2024</c:v>
                </c:pt>
                <c:pt idx="13">
                  <c:v>14-06-2024</c:v>
                </c:pt>
                <c:pt idx="14">
                  <c:v>15-06-2024</c:v>
                </c:pt>
                <c:pt idx="15">
                  <c:v>16-06-2024</c:v>
                </c:pt>
                <c:pt idx="16">
                  <c:v>17-06-2024</c:v>
                </c:pt>
                <c:pt idx="17">
                  <c:v>18-06-2024</c:v>
                </c:pt>
                <c:pt idx="18">
                  <c:v>19-06-2024</c:v>
                </c:pt>
                <c:pt idx="19">
                  <c:v>20-06-2024</c:v>
                </c:pt>
                <c:pt idx="20">
                  <c:v>21-06-2024</c:v>
                </c:pt>
                <c:pt idx="21">
                  <c:v>22-06-2024</c:v>
                </c:pt>
                <c:pt idx="22">
                  <c:v>23-06-2024</c:v>
                </c:pt>
                <c:pt idx="23">
                  <c:v>24-06-2024</c:v>
                </c:pt>
                <c:pt idx="24">
                  <c:v>25-06-2024</c:v>
                </c:pt>
                <c:pt idx="25">
                  <c:v>26-06-2024</c:v>
                </c:pt>
                <c:pt idx="26">
                  <c:v>27-06-2024</c:v>
                </c:pt>
                <c:pt idx="27">
                  <c:v>28-06-2024</c:v>
                </c:pt>
                <c:pt idx="28">
                  <c:v>29-06-2024</c:v>
                </c:pt>
                <c:pt idx="29">
                  <c:v>30-06-2024</c:v>
                </c:pt>
              </c:strCache>
            </c:strRef>
          </c:cat>
          <c:val>
            <c:numRef>
              <c:f>Sheet1!$B$5:$B$35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C8D8-48DE-BAC4-F8FECCFD3A16}"/>
            </c:ext>
          </c:extLst>
        </c:ser>
        <c:dLbls>
          <c:showLegendKey val="0"/>
          <c:showVal val="0"/>
          <c:showCatName val="0"/>
          <c:showSerName val="0"/>
          <c:showPercent val="0"/>
          <c:showBubbleSize val="0"/>
        </c:dLbls>
        <c:axId val="2123441983"/>
        <c:axId val="2123426623"/>
      </c:areaChart>
      <c:catAx>
        <c:axId val="2123441983"/>
        <c:scaling>
          <c:orientation val="minMax"/>
        </c:scaling>
        <c:delete val="1"/>
        <c:axPos val="b"/>
        <c:numFmt formatCode="General" sourceLinked="1"/>
        <c:majorTickMark val="out"/>
        <c:minorTickMark val="none"/>
        <c:tickLblPos val="nextTo"/>
        <c:crossAx val="2123426623"/>
        <c:crosses val="autoZero"/>
        <c:auto val="1"/>
        <c:lblAlgn val="ctr"/>
        <c:lblOffset val="100"/>
        <c:noMultiLvlLbl val="0"/>
      </c:catAx>
      <c:valAx>
        <c:axId val="2123426623"/>
        <c:scaling>
          <c:orientation val="minMax"/>
        </c:scaling>
        <c:delete val="1"/>
        <c:axPos val="l"/>
        <c:numFmt formatCode="General" sourceLinked="1"/>
        <c:majorTickMark val="none"/>
        <c:minorTickMark val="none"/>
        <c:tickLblPos val="nextTo"/>
        <c:crossAx val="2123441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Project.xlsx]Sheet1!PivotTable5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277777777777779"/>
          <c:w val="1"/>
          <c:h val="0.84722336552581201"/>
        </c:manualLayout>
      </c:layout>
      <c:areaChart>
        <c:grouping val="standard"/>
        <c:varyColors val="0"/>
        <c:ser>
          <c:idx val="0"/>
          <c:order val="0"/>
          <c:tx>
            <c:strRef>
              <c:f>Sheet1!$F$5</c:f>
              <c:strCache>
                <c:ptCount val="1"/>
                <c:pt idx="0">
                  <c:v>Total</c:v>
                </c:pt>
              </c:strCache>
            </c:strRef>
          </c:tx>
          <c:spPr>
            <a:solidFill>
              <a:schemeClr val="accent1">
                <a:lumMod val="75000"/>
              </a:schemeClr>
            </a:solidFill>
            <a:ln w="25400">
              <a:noFill/>
            </a:ln>
            <a:effectLst/>
          </c:spPr>
          <c:cat>
            <c:strRef>
              <c:f>Sheet1!$E$6:$E$36</c:f>
              <c:strCache>
                <c:ptCount val="30"/>
                <c:pt idx="0">
                  <c:v>01-06-2024</c:v>
                </c:pt>
                <c:pt idx="1">
                  <c:v>02-06-2024</c:v>
                </c:pt>
                <c:pt idx="2">
                  <c:v>03-06-2024</c:v>
                </c:pt>
                <c:pt idx="3">
                  <c:v>04-06-2024</c:v>
                </c:pt>
                <c:pt idx="4">
                  <c:v>05-06-2024</c:v>
                </c:pt>
                <c:pt idx="5">
                  <c:v>06-06-2024</c:v>
                </c:pt>
                <c:pt idx="6">
                  <c:v>07-06-2024</c:v>
                </c:pt>
                <c:pt idx="7">
                  <c:v>08-06-2024</c:v>
                </c:pt>
                <c:pt idx="8">
                  <c:v>09-06-2024</c:v>
                </c:pt>
                <c:pt idx="9">
                  <c:v>10-06-2024</c:v>
                </c:pt>
                <c:pt idx="10">
                  <c:v>11-06-2024</c:v>
                </c:pt>
                <c:pt idx="11">
                  <c:v>12-06-2024</c:v>
                </c:pt>
                <c:pt idx="12">
                  <c:v>13-06-2024</c:v>
                </c:pt>
                <c:pt idx="13">
                  <c:v>14-06-2024</c:v>
                </c:pt>
                <c:pt idx="14">
                  <c:v>15-06-2024</c:v>
                </c:pt>
                <c:pt idx="15">
                  <c:v>16-06-2024</c:v>
                </c:pt>
                <c:pt idx="16">
                  <c:v>17-06-2024</c:v>
                </c:pt>
                <c:pt idx="17">
                  <c:v>18-06-2024</c:v>
                </c:pt>
                <c:pt idx="18">
                  <c:v>19-06-2024</c:v>
                </c:pt>
                <c:pt idx="19">
                  <c:v>20-06-2024</c:v>
                </c:pt>
                <c:pt idx="20">
                  <c:v>21-06-2024</c:v>
                </c:pt>
                <c:pt idx="21">
                  <c:v>22-06-2024</c:v>
                </c:pt>
                <c:pt idx="22">
                  <c:v>23-06-2024</c:v>
                </c:pt>
                <c:pt idx="23">
                  <c:v>24-06-2024</c:v>
                </c:pt>
                <c:pt idx="24">
                  <c:v>25-06-2024</c:v>
                </c:pt>
                <c:pt idx="25">
                  <c:v>26-06-2024</c:v>
                </c:pt>
                <c:pt idx="26">
                  <c:v>27-06-2024</c:v>
                </c:pt>
                <c:pt idx="27">
                  <c:v>28-06-2024</c:v>
                </c:pt>
                <c:pt idx="28">
                  <c:v>29-06-2024</c:v>
                </c:pt>
                <c:pt idx="29">
                  <c:v>30-06-2024</c:v>
                </c:pt>
              </c:strCache>
            </c:strRef>
          </c:cat>
          <c:val>
            <c:numRef>
              <c:f>Sheet1!$F$6:$F$36</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7A56-44A5-87F3-B43297325EB4}"/>
            </c:ext>
          </c:extLst>
        </c:ser>
        <c:dLbls>
          <c:showLegendKey val="0"/>
          <c:showVal val="0"/>
          <c:showCatName val="0"/>
          <c:showSerName val="0"/>
          <c:showPercent val="0"/>
          <c:showBubbleSize val="0"/>
        </c:dLbls>
        <c:axId val="827405567"/>
        <c:axId val="827408447"/>
      </c:areaChart>
      <c:catAx>
        <c:axId val="827405567"/>
        <c:scaling>
          <c:orientation val="minMax"/>
        </c:scaling>
        <c:delete val="1"/>
        <c:axPos val="b"/>
        <c:numFmt formatCode="General" sourceLinked="1"/>
        <c:majorTickMark val="out"/>
        <c:minorTickMark val="none"/>
        <c:tickLblPos val="nextTo"/>
        <c:crossAx val="827408447"/>
        <c:crosses val="autoZero"/>
        <c:auto val="1"/>
        <c:lblAlgn val="ctr"/>
        <c:lblOffset val="100"/>
        <c:noMultiLvlLbl val="0"/>
      </c:catAx>
      <c:valAx>
        <c:axId val="827408447"/>
        <c:scaling>
          <c:orientation val="minMax"/>
        </c:scaling>
        <c:delete val="1"/>
        <c:axPos val="l"/>
        <c:numFmt formatCode="0.00" sourceLinked="1"/>
        <c:majorTickMark val="none"/>
        <c:minorTickMark val="none"/>
        <c:tickLblPos val="nextTo"/>
        <c:crossAx val="827405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Project.xlsx]Sheet1!PivotTable6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515174869717583"/>
          <c:w val="0.97907667149866262"/>
          <c:h val="0.71212062825706046"/>
        </c:manualLayout>
      </c:layout>
      <c:areaChart>
        <c:grouping val="standard"/>
        <c:varyColors val="0"/>
        <c:ser>
          <c:idx val="0"/>
          <c:order val="0"/>
          <c:tx>
            <c:strRef>
              <c:f>Sheet1!$L$5</c:f>
              <c:strCache>
                <c:ptCount val="1"/>
                <c:pt idx="0">
                  <c:v>Total</c:v>
                </c:pt>
              </c:strCache>
            </c:strRef>
          </c:tx>
          <c:spPr>
            <a:solidFill>
              <a:schemeClr val="accent1">
                <a:lumMod val="75000"/>
              </a:schemeClr>
            </a:solidFill>
            <a:ln w="25400">
              <a:noFill/>
            </a:ln>
            <a:effectLst/>
          </c:spPr>
          <c:cat>
            <c:strRef>
              <c:f>Sheet1!$K$6:$K$36</c:f>
              <c:strCache>
                <c:ptCount val="30"/>
                <c:pt idx="0">
                  <c:v>01-06-2024</c:v>
                </c:pt>
                <c:pt idx="1">
                  <c:v>02-06-2024</c:v>
                </c:pt>
                <c:pt idx="2">
                  <c:v>03-06-2024</c:v>
                </c:pt>
                <c:pt idx="3">
                  <c:v>04-06-2024</c:v>
                </c:pt>
                <c:pt idx="4">
                  <c:v>05-06-2024</c:v>
                </c:pt>
                <c:pt idx="5">
                  <c:v>06-06-2024</c:v>
                </c:pt>
                <c:pt idx="6">
                  <c:v>07-06-2024</c:v>
                </c:pt>
                <c:pt idx="7">
                  <c:v>08-06-2024</c:v>
                </c:pt>
                <c:pt idx="8">
                  <c:v>09-06-2024</c:v>
                </c:pt>
                <c:pt idx="9">
                  <c:v>10-06-2024</c:v>
                </c:pt>
                <c:pt idx="10">
                  <c:v>11-06-2024</c:v>
                </c:pt>
                <c:pt idx="11">
                  <c:v>12-06-2024</c:v>
                </c:pt>
                <c:pt idx="12">
                  <c:v>13-06-2024</c:v>
                </c:pt>
                <c:pt idx="13">
                  <c:v>14-06-2024</c:v>
                </c:pt>
                <c:pt idx="14">
                  <c:v>15-06-2024</c:v>
                </c:pt>
                <c:pt idx="15">
                  <c:v>16-06-2024</c:v>
                </c:pt>
                <c:pt idx="16">
                  <c:v>17-06-2024</c:v>
                </c:pt>
                <c:pt idx="17">
                  <c:v>18-06-2024</c:v>
                </c:pt>
                <c:pt idx="18">
                  <c:v>19-06-2024</c:v>
                </c:pt>
                <c:pt idx="19">
                  <c:v>20-06-2024</c:v>
                </c:pt>
                <c:pt idx="20">
                  <c:v>21-06-2024</c:v>
                </c:pt>
                <c:pt idx="21">
                  <c:v>22-06-2024</c:v>
                </c:pt>
                <c:pt idx="22">
                  <c:v>23-06-2024</c:v>
                </c:pt>
                <c:pt idx="23">
                  <c:v>24-06-2024</c:v>
                </c:pt>
                <c:pt idx="24">
                  <c:v>25-06-2024</c:v>
                </c:pt>
                <c:pt idx="25">
                  <c:v>26-06-2024</c:v>
                </c:pt>
                <c:pt idx="26">
                  <c:v>27-06-2024</c:v>
                </c:pt>
                <c:pt idx="27">
                  <c:v>28-06-2024</c:v>
                </c:pt>
                <c:pt idx="28">
                  <c:v>29-06-2024</c:v>
                </c:pt>
                <c:pt idx="29">
                  <c:v>30-06-2024</c:v>
                </c:pt>
              </c:strCache>
            </c:strRef>
          </c:cat>
          <c:val>
            <c:numRef>
              <c:f>Sheet1!$L$6:$L$36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E9DD-4A7B-B562-759A6791197D}"/>
            </c:ext>
          </c:extLst>
        </c:ser>
        <c:dLbls>
          <c:showLegendKey val="0"/>
          <c:showVal val="0"/>
          <c:showCatName val="0"/>
          <c:showSerName val="0"/>
          <c:showPercent val="0"/>
          <c:showBubbleSize val="0"/>
        </c:dLbls>
        <c:axId val="827417087"/>
        <c:axId val="827419487"/>
      </c:areaChart>
      <c:catAx>
        <c:axId val="827417087"/>
        <c:scaling>
          <c:orientation val="minMax"/>
        </c:scaling>
        <c:delete val="1"/>
        <c:axPos val="b"/>
        <c:numFmt formatCode="General" sourceLinked="1"/>
        <c:majorTickMark val="out"/>
        <c:minorTickMark val="none"/>
        <c:tickLblPos val="nextTo"/>
        <c:crossAx val="827419487"/>
        <c:crosses val="autoZero"/>
        <c:auto val="1"/>
        <c:lblAlgn val="ctr"/>
        <c:lblOffset val="100"/>
        <c:noMultiLvlLbl val="0"/>
      </c:catAx>
      <c:valAx>
        <c:axId val="827419487"/>
        <c:scaling>
          <c:orientation val="minMax"/>
        </c:scaling>
        <c:delete val="1"/>
        <c:axPos val="l"/>
        <c:numFmt formatCode="0.00" sourceLinked="1"/>
        <c:majorTickMark val="none"/>
        <c:minorTickMark val="none"/>
        <c:tickLblPos val="nextTo"/>
        <c:crossAx val="8274170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Project.xlsx]Sheet1!PivotTable8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Sheet1!$C$51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Sheet1!$B$52:$B$60</c:f>
              <c:strCache>
                <c:ptCount val="8"/>
                <c:pt idx="0">
                  <c:v>0-9</c:v>
                </c:pt>
                <c:pt idx="1">
                  <c:v>10-19</c:v>
                </c:pt>
                <c:pt idx="2">
                  <c:v>20-29</c:v>
                </c:pt>
                <c:pt idx="3">
                  <c:v>30-39</c:v>
                </c:pt>
                <c:pt idx="4">
                  <c:v>40-49</c:v>
                </c:pt>
                <c:pt idx="5">
                  <c:v>50-59</c:v>
                </c:pt>
                <c:pt idx="6">
                  <c:v>60-69</c:v>
                </c:pt>
                <c:pt idx="7">
                  <c:v>70-79</c:v>
                </c:pt>
              </c:strCache>
            </c:strRef>
          </c:cat>
          <c:val>
            <c:numRef>
              <c:f>Sheet1!$C$52:$C$60</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3E0D-4CFF-8EBA-EF015F27B678}"/>
            </c:ext>
          </c:extLst>
        </c:ser>
        <c:dLbls>
          <c:dLblPos val="outEnd"/>
          <c:showLegendKey val="0"/>
          <c:showVal val="1"/>
          <c:showCatName val="0"/>
          <c:showSerName val="0"/>
          <c:showPercent val="0"/>
          <c:showBubbleSize val="0"/>
        </c:dLbls>
        <c:gapWidth val="219"/>
        <c:overlap val="-27"/>
        <c:axId val="2103502639"/>
        <c:axId val="2103497839"/>
      </c:barChart>
      <c:catAx>
        <c:axId val="2103502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3497839"/>
        <c:crosses val="autoZero"/>
        <c:auto val="1"/>
        <c:lblAlgn val="ctr"/>
        <c:lblOffset val="100"/>
        <c:noMultiLvlLbl val="0"/>
      </c:catAx>
      <c:valAx>
        <c:axId val="2103497839"/>
        <c:scaling>
          <c:orientation val="minMax"/>
        </c:scaling>
        <c:delete val="1"/>
        <c:axPos val="l"/>
        <c:numFmt formatCode="0" sourceLinked="1"/>
        <c:majorTickMark val="out"/>
        <c:minorTickMark val="none"/>
        <c:tickLblPos val="nextTo"/>
        <c:crossAx val="210350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Project.xlsx]Sheet1!PivotTable9</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031027938385488"/>
          <c:y val="0.19833035221744869"/>
          <c:w val="0.57946389990938396"/>
          <c:h val="0.7110827301449324"/>
        </c:manualLayout>
      </c:layout>
      <c:pieChart>
        <c:varyColors val="1"/>
        <c:ser>
          <c:idx val="0"/>
          <c:order val="0"/>
          <c:tx>
            <c:strRef>
              <c:f>Sheet1!$F$51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78A-4C31-B418-9C2811DEF62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78A-4C31-B418-9C2811DEF6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Sheet1!$E$52:$E$54</c:f>
              <c:strCache>
                <c:ptCount val="2"/>
                <c:pt idx="0">
                  <c:v>Delay</c:v>
                </c:pt>
                <c:pt idx="1">
                  <c:v>Ontime</c:v>
                </c:pt>
              </c:strCache>
            </c:strRef>
          </c:cat>
          <c:val>
            <c:numRef>
              <c:f>Sheet1!$F$52:$F$54</c:f>
              <c:numCache>
                <c:formatCode>0</c:formatCode>
                <c:ptCount val="2"/>
                <c:pt idx="0">
                  <c:v>297</c:v>
                </c:pt>
                <c:pt idx="1">
                  <c:v>188</c:v>
                </c:pt>
              </c:numCache>
            </c:numRef>
          </c:val>
          <c:extLst>
            <c:ext xmlns:c16="http://schemas.microsoft.com/office/drawing/2014/chart" uri="{C3380CC4-5D6E-409C-BE32-E72D297353CC}">
              <c16:uniqueId val="{00000004-3EAE-4E95-9EC5-4BA02FFC02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799100359165629"/>
          <c:y val="2.0517878337038827E-2"/>
          <c:w val="0.6804361555064059"/>
          <c:h val="0.176211029571555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Project.xlsx]Sheet1!PivotTable10</c:name>
    <c:fmtId val="4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1A2EFA4-DA55-45E9-92A8-AF0E8CC9504F}"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4A4AE92E-57AC-4815-85D1-C5E437BE1D54}"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4A4AE92E-57AC-4815-85D1-C5E437BE1D54}"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1A2EFA4-DA55-45E9-92A8-AF0E8CC9504F}"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4A4AE92E-57AC-4815-85D1-C5E437BE1D54}"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1A2EFA4-DA55-45E9-92A8-AF0E8CC9504F}"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27944663950745"/>
          <c:y val="0.17264441342875922"/>
          <c:w val="0.43769538163745109"/>
          <c:h val="0.66257866719694813"/>
        </c:manualLayout>
      </c:layout>
      <c:doughnutChart>
        <c:varyColors val="1"/>
        <c:ser>
          <c:idx val="0"/>
          <c:order val="0"/>
          <c:tx>
            <c:strRef>
              <c:f>Sheet1!$F$56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41A-4F2A-A405-EAE07D17DEB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41A-4F2A-A405-EAE07D17DEBB}"/>
              </c:ext>
            </c:extLst>
          </c:dPt>
          <c:dLbls>
            <c:dLbl>
              <c:idx val="0"/>
              <c:tx>
                <c:rich>
                  <a:bodyPr/>
                  <a:lstStyle/>
                  <a:p>
                    <a:r>
                      <a:rPr lang="en-US" baseline="0"/>
                      <a:t> </a:t>
                    </a:r>
                    <a:fld id="{4A4AE92E-57AC-4815-85D1-C5E437BE1D54}"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41A-4F2A-A405-EAE07D17DEBB}"/>
                </c:ext>
              </c:extLst>
            </c:dLbl>
            <c:dLbl>
              <c:idx val="1"/>
              <c:tx>
                <c:rich>
                  <a:bodyPr/>
                  <a:lstStyle/>
                  <a:p>
                    <a:fld id="{51A2EFA4-DA55-45E9-92A8-AF0E8CC9504F}"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41A-4F2A-A405-EAE07D17DEB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Sheet1!$E$57:$E$59</c:f>
              <c:strCache>
                <c:ptCount val="2"/>
                <c:pt idx="0">
                  <c:v>Female</c:v>
                </c:pt>
                <c:pt idx="1">
                  <c:v>Male</c:v>
                </c:pt>
              </c:strCache>
            </c:strRef>
          </c:cat>
          <c:val>
            <c:numRef>
              <c:f>Sheet1!$F$57:$F$59</c:f>
              <c:numCache>
                <c:formatCode>0</c:formatCode>
                <c:ptCount val="2"/>
                <c:pt idx="0">
                  <c:v>239</c:v>
                </c:pt>
                <c:pt idx="1">
                  <c:v>246</c:v>
                </c:pt>
              </c:numCache>
            </c:numRef>
          </c:val>
          <c:extLst>
            <c:ext xmlns:c16="http://schemas.microsoft.com/office/drawing/2014/chart" uri="{C3380CC4-5D6E-409C-BE32-E72D297353CC}">
              <c16:uniqueId val="{00000004-E1E8-47C9-9AAE-AE7DF2EC6C8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13094124892832953"/>
          <c:y val="7.6360229890877771E-3"/>
          <c:w val="0.50697102448626319"/>
          <c:h val="0.17898734820227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Project.xlsx]Sheet1!PivotTable11</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01599082350697"/>
          <c:y val="4.6676733901412998E-2"/>
          <c:w val="0.60231728327566003"/>
          <c:h val="0.71838708517599681"/>
        </c:manualLayout>
      </c:layout>
      <c:barChart>
        <c:barDir val="bar"/>
        <c:grouping val="clustered"/>
        <c:varyColors val="0"/>
        <c:ser>
          <c:idx val="0"/>
          <c:order val="0"/>
          <c:tx>
            <c:strRef>
              <c:f>Sheet1!$I$51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Sheet1!$H$52:$H$60</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Sheet1!$I$52:$I$60</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0-BCFD-4880-BF88-F714A62A9627}"/>
            </c:ext>
          </c:extLst>
        </c:ser>
        <c:dLbls>
          <c:dLblPos val="outEnd"/>
          <c:showLegendKey val="0"/>
          <c:showVal val="1"/>
          <c:showCatName val="0"/>
          <c:showSerName val="0"/>
          <c:showPercent val="0"/>
          <c:showBubbleSize val="0"/>
        </c:dLbls>
        <c:gapWidth val="99"/>
        <c:axId val="1965601663"/>
        <c:axId val="1965601183"/>
      </c:barChart>
      <c:catAx>
        <c:axId val="1965601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601183"/>
        <c:crosses val="autoZero"/>
        <c:auto val="1"/>
        <c:lblAlgn val="ctr"/>
        <c:lblOffset val="100"/>
        <c:noMultiLvlLbl val="0"/>
      </c:catAx>
      <c:valAx>
        <c:axId val="196560118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60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365760</xdr:colOff>
      <xdr:row>46</xdr:row>
      <xdr:rowOff>0</xdr:rowOff>
    </xdr:from>
    <xdr:to>
      <xdr:col>4</xdr:col>
      <xdr:colOff>152400</xdr:colOff>
      <xdr:row>48</xdr:row>
      <xdr:rowOff>15240</xdr:rowOff>
    </xdr:to>
    <xdr:graphicFrame macro="">
      <xdr:nvGraphicFramePr>
        <xdr:cNvPr id="5" name="Chart 4">
          <a:extLst>
            <a:ext uri="{FF2B5EF4-FFF2-40B4-BE49-F238E27FC236}">
              <a16:creationId xmlns:a16="http://schemas.microsoft.com/office/drawing/2014/main" id="{292D63F9-7586-4D8C-24B6-E6555AFAA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192506</xdr:colOff>
      <xdr:row>1</xdr:row>
      <xdr:rowOff>46121</xdr:rowOff>
    </xdr:from>
    <xdr:to>
      <xdr:col>7</xdr:col>
      <xdr:colOff>588746</xdr:colOff>
      <xdr:row>4</xdr:row>
      <xdr:rowOff>145181</xdr:rowOff>
    </xdr:to>
    <xdr:sp macro="" textlink="">
      <xdr:nvSpPr>
        <xdr:cNvPr id="2" name="Rectangle: Rounded Corners 1">
          <a:extLst>
            <a:ext uri="{FF2B5EF4-FFF2-40B4-BE49-F238E27FC236}">
              <a16:creationId xmlns:a16="http://schemas.microsoft.com/office/drawing/2014/main" id="{78F79814-C81C-5B8B-F250-35312CFAAE3F}"/>
            </a:ext>
          </a:extLst>
        </xdr:cNvPr>
        <xdr:cNvSpPr/>
      </xdr:nvSpPr>
      <xdr:spPr>
        <a:xfrm>
          <a:off x="192506" y="230605"/>
          <a:ext cx="4663440" cy="652513"/>
        </a:xfrm>
        <a:prstGeom prst="roundRect">
          <a:avLst>
            <a:gd name="adj" fmla="val 5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426720</xdr:colOff>
      <xdr:row>1</xdr:row>
      <xdr:rowOff>38099</xdr:rowOff>
    </xdr:from>
    <xdr:to>
      <xdr:col>14</xdr:col>
      <xdr:colOff>376990</xdr:colOff>
      <xdr:row>9</xdr:row>
      <xdr:rowOff>176462</xdr:rowOff>
    </xdr:to>
    <xdr:sp macro="" textlink="">
      <xdr:nvSpPr>
        <xdr:cNvPr id="6" name="Rectangle: Rounded Corners 5">
          <a:extLst>
            <a:ext uri="{FF2B5EF4-FFF2-40B4-BE49-F238E27FC236}">
              <a16:creationId xmlns:a16="http://schemas.microsoft.com/office/drawing/2014/main" id="{B8D61169-602A-299D-E21C-5F134C55BC11}"/>
            </a:ext>
          </a:extLst>
        </xdr:cNvPr>
        <xdr:cNvSpPr/>
      </xdr:nvSpPr>
      <xdr:spPr>
        <a:xfrm>
          <a:off x="7132320" y="222583"/>
          <a:ext cx="1811154" cy="1614237"/>
        </a:xfrm>
        <a:prstGeom prst="roundRect">
          <a:avLst>
            <a:gd name="adj" fmla="val 27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556259</xdr:colOff>
      <xdr:row>1</xdr:row>
      <xdr:rowOff>38100</xdr:rowOff>
    </xdr:from>
    <xdr:to>
      <xdr:col>17</xdr:col>
      <xdr:colOff>553452</xdr:colOff>
      <xdr:row>9</xdr:row>
      <xdr:rowOff>168442</xdr:rowOff>
    </xdr:to>
    <xdr:sp macro="" textlink="">
      <xdr:nvSpPr>
        <xdr:cNvPr id="7" name="Rectangle: Rounded Corners 6">
          <a:extLst>
            <a:ext uri="{FF2B5EF4-FFF2-40B4-BE49-F238E27FC236}">
              <a16:creationId xmlns:a16="http://schemas.microsoft.com/office/drawing/2014/main" id="{F4CCA4F4-855F-441D-9862-23D0E5A49B23}"/>
            </a:ext>
          </a:extLst>
        </xdr:cNvPr>
        <xdr:cNvSpPr/>
      </xdr:nvSpPr>
      <xdr:spPr>
        <a:xfrm>
          <a:off x="9122743" y="222584"/>
          <a:ext cx="1825993" cy="1606216"/>
        </a:xfrm>
        <a:prstGeom prst="roundRect">
          <a:avLst>
            <a:gd name="adj" fmla="val 27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350520</xdr:colOff>
      <xdr:row>5</xdr:row>
      <xdr:rowOff>152401</xdr:rowOff>
    </xdr:from>
    <xdr:to>
      <xdr:col>11</xdr:col>
      <xdr:colOff>160020</xdr:colOff>
      <xdr:row>11</xdr:row>
      <xdr:rowOff>53269</xdr:rowOff>
    </xdr:to>
    <xdr:grpSp>
      <xdr:nvGrpSpPr>
        <xdr:cNvPr id="12" name="Group 11">
          <a:extLst>
            <a:ext uri="{FF2B5EF4-FFF2-40B4-BE49-F238E27FC236}">
              <a16:creationId xmlns:a16="http://schemas.microsoft.com/office/drawing/2014/main" id="{FDD0ADE9-B32D-DCF5-C731-4A7F100917EB}"/>
            </a:ext>
          </a:extLst>
        </xdr:cNvPr>
        <xdr:cNvGrpSpPr/>
      </xdr:nvGrpSpPr>
      <xdr:grpSpPr>
        <a:xfrm>
          <a:off x="1569720" y="1074822"/>
          <a:ext cx="5295900" cy="1007773"/>
          <a:chOff x="1828800" y="1097280"/>
          <a:chExt cx="3916680" cy="682993"/>
        </a:xfrm>
      </xdr:grpSpPr>
      <xdr:grpSp>
        <xdr:nvGrpSpPr>
          <xdr:cNvPr id="11" name="Group 10">
            <a:extLst>
              <a:ext uri="{FF2B5EF4-FFF2-40B4-BE49-F238E27FC236}">
                <a16:creationId xmlns:a16="http://schemas.microsoft.com/office/drawing/2014/main" id="{C07BF17D-83B9-3DB0-6E5D-D44CA5CCB62A}"/>
              </a:ext>
            </a:extLst>
          </xdr:cNvPr>
          <xdr:cNvGrpSpPr/>
        </xdr:nvGrpSpPr>
        <xdr:grpSpPr>
          <a:xfrm>
            <a:off x="1828800" y="1097280"/>
            <a:ext cx="2545080" cy="682993"/>
            <a:chOff x="1828800" y="1097280"/>
            <a:chExt cx="2545080" cy="682993"/>
          </a:xfrm>
        </xdr:grpSpPr>
        <xdr:sp macro="" textlink="">
          <xdr:nvSpPr>
            <xdr:cNvPr id="8" name="Rectangle: Rounded Corners 7">
              <a:extLst>
                <a:ext uri="{FF2B5EF4-FFF2-40B4-BE49-F238E27FC236}">
                  <a16:creationId xmlns:a16="http://schemas.microsoft.com/office/drawing/2014/main" id="{9E1D3135-5C01-4081-B9A3-F99B14A3329B}"/>
                </a:ext>
              </a:extLst>
            </xdr:cNvPr>
            <xdr:cNvSpPr/>
          </xdr:nvSpPr>
          <xdr:spPr>
            <a:xfrm>
              <a:off x="1828800" y="1097280"/>
              <a:ext cx="1181100" cy="678180"/>
            </a:xfrm>
            <a:prstGeom prst="roundRect">
              <a:avLst>
                <a:gd name="adj" fmla="val 54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717AE88-4A0F-4929-BC2C-DBBC0B541FEC}"/>
                </a:ext>
              </a:extLst>
            </xdr:cNvPr>
            <xdr:cNvSpPr/>
          </xdr:nvSpPr>
          <xdr:spPr>
            <a:xfrm>
              <a:off x="3192780" y="1112520"/>
              <a:ext cx="1181100" cy="667753"/>
            </a:xfrm>
            <a:prstGeom prst="roundRect">
              <a:avLst>
                <a:gd name="adj" fmla="val 54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10" name="Rectangle: Rounded Corners 9">
            <a:extLst>
              <a:ext uri="{FF2B5EF4-FFF2-40B4-BE49-F238E27FC236}">
                <a16:creationId xmlns:a16="http://schemas.microsoft.com/office/drawing/2014/main" id="{5917B42A-89D3-45FC-9355-0CB358336F33}"/>
              </a:ext>
            </a:extLst>
          </xdr:cNvPr>
          <xdr:cNvSpPr/>
        </xdr:nvSpPr>
        <xdr:spPr>
          <a:xfrm>
            <a:off x="4564380" y="1112520"/>
            <a:ext cx="1181100" cy="658832"/>
          </a:xfrm>
          <a:prstGeom prst="roundRect">
            <a:avLst>
              <a:gd name="adj" fmla="val 54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2</xdr:col>
      <xdr:colOff>374182</xdr:colOff>
      <xdr:row>12</xdr:row>
      <xdr:rowOff>12433</xdr:rowOff>
    </xdr:from>
    <xdr:to>
      <xdr:col>11</xdr:col>
      <xdr:colOff>275122</xdr:colOff>
      <xdr:row>15</xdr:row>
      <xdr:rowOff>174057</xdr:rowOff>
    </xdr:to>
    <xdr:sp macro="" textlink="">
      <xdr:nvSpPr>
        <xdr:cNvPr id="13" name="Rectangle: Rounded Corners 12">
          <a:extLst>
            <a:ext uri="{FF2B5EF4-FFF2-40B4-BE49-F238E27FC236}">
              <a16:creationId xmlns:a16="http://schemas.microsoft.com/office/drawing/2014/main" id="{80D6E88C-17C4-4741-8783-78F2F6E7A92B}"/>
            </a:ext>
          </a:extLst>
        </xdr:cNvPr>
        <xdr:cNvSpPr/>
      </xdr:nvSpPr>
      <xdr:spPr>
        <a:xfrm>
          <a:off x="1593382" y="2226244"/>
          <a:ext cx="5387340" cy="715076"/>
        </a:xfrm>
        <a:prstGeom prst="roundRect">
          <a:avLst>
            <a:gd name="adj" fmla="val 5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358140</xdr:colOff>
      <xdr:row>16</xdr:row>
      <xdr:rowOff>175260</xdr:rowOff>
    </xdr:from>
    <xdr:to>
      <xdr:col>11</xdr:col>
      <xdr:colOff>259080</xdr:colOff>
      <xdr:row>25</xdr:row>
      <xdr:rowOff>91440</xdr:rowOff>
    </xdr:to>
    <xdr:sp macro="" textlink="">
      <xdr:nvSpPr>
        <xdr:cNvPr id="14" name="Rectangle: Rounded Corners 13">
          <a:extLst>
            <a:ext uri="{FF2B5EF4-FFF2-40B4-BE49-F238E27FC236}">
              <a16:creationId xmlns:a16="http://schemas.microsoft.com/office/drawing/2014/main" id="{8601A05D-D7DF-4B55-9985-45C40547DD95}"/>
            </a:ext>
          </a:extLst>
        </xdr:cNvPr>
        <xdr:cNvSpPr/>
      </xdr:nvSpPr>
      <xdr:spPr>
        <a:xfrm>
          <a:off x="1577340" y="3101340"/>
          <a:ext cx="5387340" cy="1562100"/>
        </a:xfrm>
        <a:prstGeom prst="roundRect">
          <a:avLst>
            <a:gd name="adj" fmla="val 5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495300</xdr:colOff>
      <xdr:row>10</xdr:row>
      <xdr:rowOff>114300</xdr:rowOff>
    </xdr:from>
    <xdr:to>
      <xdr:col>17</xdr:col>
      <xdr:colOff>571500</xdr:colOff>
      <xdr:row>25</xdr:row>
      <xdr:rowOff>68580</xdr:rowOff>
    </xdr:to>
    <xdr:sp macro="" textlink="">
      <xdr:nvSpPr>
        <xdr:cNvPr id="15" name="Rectangle: Rounded Corners 14">
          <a:extLst>
            <a:ext uri="{FF2B5EF4-FFF2-40B4-BE49-F238E27FC236}">
              <a16:creationId xmlns:a16="http://schemas.microsoft.com/office/drawing/2014/main" id="{8FFCD38E-7966-44B4-A4AA-C4B2345DB20D}"/>
            </a:ext>
          </a:extLst>
        </xdr:cNvPr>
        <xdr:cNvSpPr/>
      </xdr:nvSpPr>
      <xdr:spPr>
        <a:xfrm>
          <a:off x="7200900" y="1943100"/>
          <a:ext cx="3764280" cy="2697480"/>
        </a:xfrm>
        <a:prstGeom prst="roundRect">
          <a:avLst>
            <a:gd name="adj" fmla="val 16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548640</xdr:colOff>
      <xdr:row>1</xdr:row>
      <xdr:rowOff>106680</xdr:rowOff>
    </xdr:from>
    <xdr:to>
      <xdr:col>7</xdr:col>
      <xdr:colOff>396240</xdr:colOff>
      <xdr:row>3</xdr:row>
      <xdr:rowOff>45720</xdr:rowOff>
    </xdr:to>
    <xdr:sp macro="" textlink="">
      <xdr:nvSpPr>
        <xdr:cNvPr id="18" name="TextBox 17">
          <a:extLst>
            <a:ext uri="{FF2B5EF4-FFF2-40B4-BE49-F238E27FC236}">
              <a16:creationId xmlns:a16="http://schemas.microsoft.com/office/drawing/2014/main" id="{2B1B9B42-C149-44D0-B18A-64552E4F2135}"/>
            </a:ext>
          </a:extLst>
        </xdr:cNvPr>
        <xdr:cNvSpPr txBox="1"/>
      </xdr:nvSpPr>
      <xdr:spPr>
        <a:xfrm>
          <a:off x="1158240" y="289560"/>
          <a:ext cx="3505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Hospital Emergency Room Dashboard</a:t>
          </a:r>
        </a:p>
        <a:p>
          <a:endParaRPr lang="en-IN" sz="1100"/>
        </a:p>
      </xdr:txBody>
    </xdr:sp>
    <xdr:clientData/>
  </xdr:twoCellAnchor>
  <xdr:twoCellAnchor editAs="oneCell">
    <xdr:from>
      <xdr:col>0</xdr:col>
      <xdr:colOff>152400</xdr:colOff>
      <xdr:row>1</xdr:row>
      <xdr:rowOff>45720</xdr:rowOff>
    </xdr:from>
    <xdr:to>
      <xdr:col>1</xdr:col>
      <xdr:colOff>335280</xdr:colOff>
      <xdr:row>4</xdr:row>
      <xdr:rowOff>121920</xdr:rowOff>
    </xdr:to>
    <xdr:pic>
      <xdr:nvPicPr>
        <xdr:cNvPr id="20" name="Picture 19">
          <a:extLst>
            <a:ext uri="{FF2B5EF4-FFF2-40B4-BE49-F238E27FC236}">
              <a16:creationId xmlns:a16="http://schemas.microsoft.com/office/drawing/2014/main" id="{37AEBA00-22F0-A7B0-D0C2-AEDE9B2B873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931" t="11539" r="18139" b="8973"/>
        <a:stretch>
          <a:fillRect/>
        </a:stretch>
      </xdr:blipFill>
      <xdr:spPr>
        <a:xfrm>
          <a:off x="152400" y="228600"/>
          <a:ext cx="792480" cy="624840"/>
        </a:xfrm>
        <a:prstGeom prst="rect">
          <a:avLst/>
        </a:prstGeom>
      </xdr:spPr>
    </xdr:pic>
    <xdr:clientData/>
  </xdr:twoCellAnchor>
  <xdr:twoCellAnchor>
    <xdr:from>
      <xdr:col>3</xdr:col>
      <xdr:colOff>22860</xdr:colOff>
      <xdr:row>3</xdr:row>
      <xdr:rowOff>30480</xdr:rowOff>
    </xdr:from>
    <xdr:to>
      <xdr:col>5</xdr:col>
      <xdr:colOff>152400</xdr:colOff>
      <xdr:row>4</xdr:row>
      <xdr:rowOff>106680</xdr:rowOff>
    </xdr:to>
    <xdr:sp macro="" textlink="">
      <xdr:nvSpPr>
        <xdr:cNvPr id="21" name="TextBox 20">
          <a:extLst>
            <a:ext uri="{FF2B5EF4-FFF2-40B4-BE49-F238E27FC236}">
              <a16:creationId xmlns:a16="http://schemas.microsoft.com/office/drawing/2014/main" id="{E18C8DBE-504E-3739-68B3-1E8D17C9F9E7}"/>
            </a:ext>
          </a:extLst>
        </xdr:cNvPr>
        <xdr:cNvSpPr txBox="1"/>
      </xdr:nvSpPr>
      <xdr:spPr>
        <a:xfrm>
          <a:off x="1851660" y="579120"/>
          <a:ext cx="13487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Monthly Report</a:t>
          </a:r>
        </a:p>
      </xdr:txBody>
    </xdr:sp>
    <xdr:clientData/>
  </xdr:twoCellAnchor>
  <xdr:twoCellAnchor>
    <xdr:from>
      <xdr:col>3</xdr:col>
      <xdr:colOff>251460</xdr:colOff>
      <xdr:row>6</xdr:row>
      <xdr:rowOff>83820</xdr:rowOff>
    </xdr:from>
    <xdr:to>
      <xdr:col>4</xdr:col>
      <xdr:colOff>175260</xdr:colOff>
      <xdr:row>7</xdr:row>
      <xdr:rowOff>160020</xdr:rowOff>
    </xdr:to>
    <xdr:sp macro="" textlink="Sheet1!A2">
      <xdr:nvSpPr>
        <xdr:cNvPr id="22" name="TextBox 21">
          <a:extLst>
            <a:ext uri="{FF2B5EF4-FFF2-40B4-BE49-F238E27FC236}">
              <a16:creationId xmlns:a16="http://schemas.microsoft.com/office/drawing/2014/main" id="{2E4BE4FC-E62E-FA67-6AFB-8AB04EBBE039}"/>
            </a:ext>
          </a:extLst>
        </xdr:cNvPr>
        <xdr:cNvSpPr txBox="1"/>
      </xdr:nvSpPr>
      <xdr:spPr>
        <a:xfrm>
          <a:off x="2080260" y="1181100"/>
          <a:ext cx="533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375748-F989-49D5-BF54-EC0468EBFBF4}" type="TxLink">
            <a:rPr lang="en-US" sz="1100" b="0" i="0" u="none" strike="noStrike">
              <a:solidFill>
                <a:srgbClr val="000000"/>
              </a:solidFill>
              <a:latin typeface="Calibri"/>
              <a:ea typeface="Calibri"/>
              <a:cs typeface="Calibri"/>
            </a:rPr>
            <a:pPr/>
            <a:t>485</a:t>
          </a:fld>
          <a:endParaRPr lang="en-US" sz="1100"/>
        </a:p>
      </xdr:txBody>
    </xdr:sp>
    <xdr:clientData/>
  </xdr:twoCellAnchor>
  <xdr:twoCellAnchor>
    <xdr:from>
      <xdr:col>3</xdr:col>
      <xdr:colOff>0</xdr:colOff>
      <xdr:row>7</xdr:row>
      <xdr:rowOff>152400</xdr:rowOff>
    </xdr:from>
    <xdr:to>
      <xdr:col>4</xdr:col>
      <xdr:colOff>464820</xdr:colOff>
      <xdr:row>9</xdr:row>
      <xdr:rowOff>137160</xdr:rowOff>
    </xdr:to>
    <xdr:sp macro="" textlink="">
      <xdr:nvSpPr>
        <xdr:cNvPr id="5" name="TextBox 4">
          <a:extLst>
            <a:ext uri="{FF2B5EF4-FFF2-40B4-BE49-F238E27FC236}">
              <a16:creationId xmlns:a16="http://schemas.microsoft.com/office/drawing/2014/main" id="{5D106416-A0F9-9115-95CD-DADE997DE689}"/>
            </a:ext>
          </a:extLst>
        </xdr:cNvPr>
        <xdr:cNvSpPr txBox="1"/>
      </xdr:nvSpPr>
      <xdr:spPr>
        <a:xfrm>
          <a:off x="1828800" y="1432560"/>
          <a:ext cx="1074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 of Patient</a:t>
          </a:r>
        </a:p>
      </xdr:txBody>
    </xdr:sp>
    <xdr:clientData/>
  </xdr:twoCellAnchor>
  <xdr:twoCellAnchor>
    <xdr:from>
      <xdr:col>6</xdr:col>
      <xdr:colOff>304800</xdr:colOff>
      <xdr:row>6</xdr:row>
      <xdr:rowOff>129540</xdr:rowOff>
    </xdr:from>
    <xdr:to>
      <xdr:col>7</xdr:col>
      <xdr:colOff>259080</xdr:colOff>
      <xdr:row>8</xdr:row>
      <xdr:rowOff>53340</xdr:rowOff>
    </xdr:to>
    <xdr:sp macro="" textlink="Sheet1!D2">
      <xdr:nvSpPr>
        <xdr:cNvPr id="16" name="TextBox 15">
          <a:extLst>
            <a:ext uri="{FF2B5EF4-FFF2-40B4-BE49-F238E27FC236}">
              <a16:creationId xmlns:a16="http://schemas.microsoft.com/office/drawing/2014/main" id="{F5D52409-DEE6-CF90-C496-A6EA3D742826}"/>
            </a:ext>
          </a:extLst>
        </xdr:cNvPr>
        <xdr:cNvSpPr txBox="1"/>
      </xdr:nvSpPr>
      <xdr:spPr>
        <a:xfrm>
          <a:off x="3962400" y="1226820"/>
          <a:ext cx="5638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3C137A-C7C2-46DB-9AC1-AE1C11E10EE3}" type="TxLink">
            <a:rPr lang="en-US" sz="1100" b="0" i="0" u="none" strike="noStrike">
              <a:solidFill>
                <a:srgbClr val="000000"/>
              </a:solidFill>
              <a:latin typeface="Calibri"/>
              <a:ea typeface="Calibri"/>
              <a:cs typeface="Calibri"/>
            </a:rPr>
            <a:pPr/>
            <a:t>35.51</a:t>
          </a:fld>
          <a:endParaRPr lang="en-IN" sz="1100"/>
        </a:p>
      </xdr:txBody>
    </xdr:sp>
    <xdr:clientData/>
  </xdr:twoCellAnchor>
  <xdr:twoCellAnchor>
    <xdr:from>
      <xdr:col>5</xdr:col>
      <xdr:colOff>563880</xdr:colOff>
      <xdr:row>7</xdr:row>
      <xdr:rowOff>175260</xdr:rowOff>
    </xdr:from>
    <xdr:to>
      <xdr:col>8</xdr:col>
      <xdr:colOff>83820</xdr:colOff>
      <xdr:row>9</xdr:row>
      <xdr:rowOff>83820</xdr:rowOff>
    </xdr:to>
    <xdr:sp macro="" textlink="">
      <xdr:nvSpPr>
        <xdr:cNvPr id="17" name="TextBox 16">
          <a:extLst>
            <a:ext uri="{FF2B5EF4-FFF2-40B4-BE49-F238E27FC236}">
              <a16:creationId xmlns:a16="http://schemas.microsoft.com/office/drawing/2014/main" id="{E46587EA-708B-F3EB-1A8B-4D5A4C877466}"/>
            </a:ext>
          </a:extLst>
        </xdr:cNvPr>
        <xdr:cNvSpPr txBox="1"/>
      </xdr:nvSpPr>
      <xdr:spPr>
        <a:xfrm>
          <a:off x="3611880" y="145542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Average Waittime</a:t>
          </a:r>
        </a:p>
      </xdr:txBody>
    </xdr:sp>
    <xdr:clientData/>
  </xdr:twoCellAnchor>
  <xdr:twoCellAnchor>
    <xdr:from>
      <xdr:col>9</xdr:col>
      <xdr:colOff>381000</xdr:colOff>
      <xdr:row>6</xdr:row>
      <xdr:rowOff>137160</xdr:rowOff>
    </xdr:from>
    <xdr:to>
      <xdr:col>10</xdr:col>
      <xdr:colOff>297180</xdr:colOff>
      <xdr:row>8</xdr:row>
      <xdr:rowOff>60960</xdr:rowOff>
    </xdr:to>
    <xdr:sp macro="" textlink="Sheet1!F2">
      <xdr:nvSpPr>
        <xdr:cNvPr id="19" name="TextBox 18">
          <a:extLst>
            <a:ext uri="{FF2B5EF4-FFF2-40B4-BE49-F238E27FC236}">
              <a16:creationId xmlns:a16="http://schemas.microsoft.com/office/drawing/2014/main" id="{E12E3D98-97BB-FC27-672F-062874E7A00C}"/>
            </a:ext>
          </a:extLst>
        </xdr:cNvPr>
        <xdr:cNvSpPr txBox="1"/>
      </xdr:nvSpPr>
      <xdr:spPr>
        <a:xfrm>
          <a:off x="5867400" y="1234440"/>
          <a:ext cx="5257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D24922-AF95-4A18-A42F-36F6EA3D88BE}" type="TxLink">
            <a:rPr lang="en-US" sz="1100" b="0" i="0" u="none" strike="noStrike">
              <a:solidFill>
                <a:srgbClr val="000000"/>
              </a:solidFill>
              <a:latin typeface="Calibri"/>
              <a:ea typeface="Calibri"/>
              <a:cs typeface="Calibri"/>
            </a:rPr>
            <a:pPr/>
            <a:t>4.71</a:t>
          </a:fld>
          <a:endParaRPr lang="en-IN" sz="1100"/>
        </a:p>
      </xdr:txBody>
    </xdr:sp>
    <xdr:clientData/>
  </xdr:twoCellAnchor>
  <xdr:twoCellAnchor>
    <xdr:from>
      <xdr:col>8</xdr:col>
      <xdr:colOff>586740</xdr:colOff>
      <xdr:row>8</xdr:row>
      <xdr:rowOff>22860</xdr:rowOff>
    </xdr:from>
    <xdr:to>
      <xdr:col>11</xdr:col>
      <xdr:colOff>121920</xdr:colOff>
      <xdr:row>9</xdr:row>
      <xdr:rowOff>160020</xdr:rowOff>
    </xdr:to>
    <xdr:sp macro="" textlink="">
      <xdr:nvSpPr>
        <xdr:cNvPr id="23" name="TextBox 22">
          <a:extLst>
            <a:ext uri="{FF2B5EF4-FFF2-40B4-BE49-F238E27FC236}">
              <a16:creationId xmlns:a16="http://schemas.microsoft.com/office/drawing/2014/main" id="{6906AAD0-0B2E-9097-73D9-1B598AD3171E}"/>
            </a:ext>
          </a:extLst>
        </xdr:cNvPr>
        <xdr:cNvSpPr txBox="1"/>
      </xdr:nvSpPr>
      <xdr:spPr>
        <a:xfrm>
          <a:off x="5463540" y="1485900"/>
          <a:ext cx="13639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Satisfaction Score</a:t>
          </a:r>
        </a:p>
      </xdr:txBody>
    </xdr:sp>
    <xdr:clientData/>
  </xdr:twoCellAnchor>
  <xdr:twoCellAnchor editAs="oneCell">
    <xdr:from>
      <xdr:col>7</xdr:col>
      <xdr:colOff>358140</xdr:colOff>
      <xdr:row>6</xdr:row>
      <xdr:rowOff>45720</xdr:rowOff>
    </xdr:from>
    <xdr:to>
      <xdr:col>8</xdr:col>
      <xdr:colOff>106680</xdr:colOff>
      <xdr:row>8</xdr:row>
      <xdr:rowOff>38100</xdr:rowOff>
    </xdr:to>
    <xdr:pic>
      <xdr:nvPicPr>
        <xdr:cNvPr id="27" name="Graphic 26" descr="Hourglass Finished with solid fill">
          <a:extLst>
            <a:ext uri="{FF2B5EF4-FFF2-40B4-BE49-F238E27FC236}">
              <a16:creationId xmlns:a16="http://schemas.microsoft.com/office/drawing/2014/main" id="{239B43F6-5922-4F07-7BC9-0C6A2659EFA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625340" y="1143000"/>
          <a:ext cx="358140" cy="358140"/>
        </a:xfrm>
        <a:prstGeom prst="rect">
          <a:avLst/>
        </a:prstGeom>
      </xdr:spPr>
    </xdr:pic>
    <xdr:clientData/>
  </xdr:twoCellAnchor>
  <xdr:twoCellAnchor editAs="oneCell">
    <xdr:from>
      <xdr:col>4</xdr:col>
      <xdr:colOff>342900</xdr:colOff>
      <xdr:row>6</xdr:row>
      <xdr:rowOff>38100</xdr:rowOff>
    </xdr:from>
    <xdr:to>
      <xdr:col>5</xdr:col>
      <xdr:colOff>106680</xdr:colOff>
      <xdr:row>8</xdr:row>
      <xdr:rowOff>45720</xdr:rowOff>
    </xdr:to>
    <xdr:pic>
      <xdr:nvPicPr>
        <xdr:cNvPr id="29" name="Graphic 28" descr="Male profile with solid fill">
          <a:extLst>
            <a:ext uri="{FF2B5EF4-FFF2-40B4-BE49-F238E27FC236}">
              <a16:creationId xmlns:a16="http://schemas.microsoft.com/office/drawing/2014/main" id="{2EB41D33-C0A3-8C19-3804-B6DEADC422E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81300" y="1135380"/>
          <a:ext cx="373380" cy="373380"/>
        </a:xfrm>
        <a:prstGeom prst="rect">
          <a:avLst/>
        </a:prstGeom>
      </xdr:spPr>
    </xdr:pic>
    <xdr:clientData/>
  </xdr:twoCellAnchor>
  <xdr:twoCellAnchor editAs="oneCell">
    <xdr:from>
      <xdr:col>10</xdr:col>
      <xdr:colOff>350520</xdr:colOff>
      <xdr:row>6</xdr:row>
      <xdr:rowOff>53340</xdr:rowOff>
    </xdr:from>
    <xdr:to>
      <xdr:col>11</xdr:col>
      <xdr:colOff>160020</xdr:colOff>
      <xdr:row>8</xdr:row>
      <xdr:rowOff>106680</xdr:rowOff>
    </xdr:to>
    <xdr:pic>
      <xdr:nvPicPr>
        <xdr:cNvPr id="31" name="Graphic 30" descr="Star with solid fill">
          <a:extLst>
            <a:ext uri="{FF2B5EF4-FFF2-40B4-BE49-F238E27FC236}">
              <a16:creationId xmlns:a16="http://schemas.microsoft.com/office/drawing/2014/main" id="{76B38E22-E3BA-7BD3-EF5D-40DEDD04F96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46520" y="1150620"/>
          <a:ext cx="419100" cy="419100"/>
        </a:xfrm>
        <a:prstGeom prst="rect">
          <a:avLst/>
        </a:prstGeom>
      </xdr:spPr>
    </xdr:pic>
    <xdr:clientData/>
  </xdr:twoCellAnchor>
  <xdr:twoCellAnchor>
    <xdr:from>
      <xdr:col>0</xdr:col>
      <xdr:colOff>190500</xdr:colOff>
      <xdr:row>6</xdr:row>
      <xdr:rowOff>0</xdr:rowOff>
    </xdr:from>
    <xdr:to>
      <xdr:col>2</xdr:col>
      <xdr:colOff>190500</xdr:colOff>
      <xdr:row>25</xdr:row>
      <xdr:rowOff>0</xdr:rowOff>
    </xdr:to>
    <xdr:sp macro="" textlink="">
      <xdr:nvSpPr>
        <xdr:cNvPr id="25" name="Rectangle: Rounded Corners 24">
          <a:extLst>
            <a:ext uri="{FF2B5EF4-FFF2-40B4-BE49-F238E27FC236}">
              <a16:creationId xmlns:a16="http://schemas.microsoft.com/office/drawing/2014/main" id="{680AB017-FE50-6589-CBA7-4B761125501C}"/>
            </a:ext>
          </a:extLst>
        </xdr:cNvPr>
        <xdr:cNvSpPr/>
      </xdr:nvSpPr>
      <xdr:spPr>
        <a:xfrm>
          <a:off x="190500" y="1097280"/>
          <a:ext cx="1219200" cy="3474720"/>
        </a:xfrm>
        <a:prstGeom prst="roundRect">
          <a:avLst>
            <a:gd name="adj" fmla="val 22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358140</xdr:colOff>
      <xdr:row>8</xdr:row>
      <xdr:rowOff>22860</xdr:rowOff>
    </xdr:from>
    <xdr:to>
      <xdr:col>5</xdr:col>
      <xdr:colOff>152400</xdr:colOff>
      <xdr:row>11</xdr:row>
      <xdr:rowOff>64169</xdr:rowOff>
    </xdr:to>
    <xdr:graphicFrame macro="">
      <xdr:nvGraphicFramePr>
        <xdr:cNvPr id="32" name="Chart 31">
          <a:extLst>
            <a:ext uri="{FF2B5EF4-FFF2-40B4-BE49-F238E27FC236}">
              <a16:creationId xmlns:a16="http://schemas.microsoft.com/office/drawing/2014/main" id="{244BC6A8-5746-48DD-9505-18075CA35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366012</xdr:colOff>
      <xdr:row>9</xdr:row>
      <xdr:rowOff>53340</xdr:rowOff>
    </xdr:from>
    <xdr:to>
      <xdr:col>8</xdr:col>
      <xdr:colOff>134224</xdr:colOff>
      <xdr:row>11</xdr:row>
      <xdr:rowOff>60961</xdr:rowOff>
    </xdr:to>
    <xdr:graphicFrame macro="">
      <xdr:nvGraphicFramePr>
        <xdr:cNvPr id="34" name="Chart 33">
          <a:extLst>
            <a:ext uri="{FF2B5EF4-FFF2-40B4-BE49-F238E27FC236}">
              <a16:creationId xmlns:a16="http://schemas.microsoft.com/office/drawing/2014/main" id="{CDE16447-4661-44E1-817E-AE92CA4C5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391808</xdr:colOff>
      <xdr:row>9</xdr:row>
      <xdr:rowOff>48125</xdr:rowOff>
    </xdr:from>
    <xdr:to>
      <xdr:col>11</xdr:col>
      <xdr:colOff>192506</xdr:colOff>
      <xdr:row>11</xdr:row>
      <xdr:rowOff>120314</xdr:rowOff>
    </xdr:to>
    <xdr:graphicFrame macro="">
      <xdr:nvGraphicFramePr>
        <xdr:cNvPr id="35" name="Chart 34">
          <a:extLst>
            <a:ext uri="{FF2B5EF4-FFF2-40B4-BE49-F238E27FC236}">
              <a16:creationId xmlns:a16="http://schemas.microsoft.com/office/drawing/2014/main" id="{43E02EF6-0CDD-4D13-A416-DB06111AE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200525</xdr:colOff>
      <xdr:row>6</xdr:row>
      <xdr:rowOff>16042</xdr:rowOff>
    </xdr:from>
    <xdr:to>
      <xdr:col>2</xdr:col>
      <xdr:colOff>192504</xdr:colOff>
      <xdr:row>24</xdr:row>
      <xdr:rowOff>176463</xdr:rowOff>
    </xdr:to>
    <mc:AlternateContent xmlns:mc="http://schemas.openxmlformats.org/markup-compatibility/2006" xmlns:a14="http://schemas.microsoft.com/office/drawing/2010/main">
      <mc:Choice Requires="a14">
        <xdr:graphicFrame macro="">
          <xdr:nvGraphicFramePr>
            <xdr:cNvPr id="3" name="Date (Month) 1">
              <a:extLst>
                <a:ext uri="{FF2B5EF4-FFF2-40B4-BE49-F238E27FC236}">
                  <a16:creationId xmlns:a16="http://schemas.microsoft.com/office/drawing/2014/main" id="{9EE5D2CB-D6E6-4DFC-A7D9-9C30916F6CC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00525" y="1122947"/>
              <a:ext cx="1211179" cy="3481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358140</xdr:colOff>
      <xdr:row>16</xdr:row>
      <xdr:rowOff>149593</xdr:rowOff>
    </xdr:from>
    <xdr:to>
      <xdr:col>11</xdr:col>
      <xdr:colOff>272716</xdr:colOff>
      <xdr:row>24</xdr:row>
      <xdr:rowOff>8021</xdr:rowOff>
    </xdr:to>
    <xdr:graphicFrame macro="">
      <xdr:nvGraphicFramePr>
        <xdr:cNvPr id="28" name="Chart 27">
          <a:extLst>
            <a:ext uri="{FF2B5EF4-FFF2-40B4-BE49-F238E27FC236}">
              <a16:creationId xmlns:a16="http://schemas.microsoft.com/office/drawing/2014/main" id="{89A4B458-3E1A-4E81-A0E9-7D2AE5994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553452</xdr:colOff>
      <xdr:row>23</xdr:row>
      <xdr:rowOff>120317</xdr:rowOff>
    </xdr:from>
    <xdr:to>
      <xdr:col>9</xdr:col>
      <xdr:colOff>192505</xdr:colOff>
      <xdr:row>25</xdr:row>
      <xdr:rowOff>104275</xdr:rowOff>
    </xdr:to>
    <xdr:sp macro="" textlink="">
      <xdr:nvSpPr>
        <xdr:cNvPr id="36" name="TextBox 35">
          <a:extLst>
            <a:ext uri="{FF2B5EF4-FFF2-40B4-BE49-F238E27FC236}">
              <a16:creationId xmlns:a16="http://schemas.microsoft.com/office/drawing/2014/main" id="{68FDF235-09C4-45E2-8D36-D2D7E35B58F6}"/>
            </a:ext>
          </a:extLst>
        </xdr:cNvPr>
        <xdr:cNvSpPr txBox="1"/>
      </xdr:nvSpPr>
      <xdr:spPr>
        <a:xfrm>
          <a:off x="2991852" y="4363454"/>
          <a:ext cx="2687053"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n>
                <a:noFill/>
              </a:ln>
            </a:rPr>
            <a:t>No of Patient By Age Group</a:t>
          </a:r>
        </a:p>
      </xdr:txBody>
    </xdr:sp>
    <xdr:clientData/>
  </xdr:twoCellAnchor>
  <xdr:twoCellAnchor>
    <xdr:from>
      <xdr:col>11</xdr:col>
      <xdr:colOff>426720</xdr:colOff>
      <xdr:row>1</xdr:row>
      <xdr:rowOff>36496</xdr:rowOff>
    </xdr:from>
    <xdr:to>
      <xdr:col>14</xdr:col>
      <xdr:colOff>401053</xdr:colOff>
      <xdr:row>9</xdr:row>
      <xdr:rowOff>56147</xdr:rowOff>
    </xdr:to>
    <xdr:graphicFrame macro="">
      <xdr:nvGraphicFramePr>
        <xdr:cNvPr id="24" name="Chart 23">
          <a:extLst>
            <a:ext uri="{FF2B5EF4-FFF2-40B4-BE49-F238E27FC236}">
              <a16:creationId xmlns:a16="http://schemas.microsoft.com/office/drawing/2014/main" id="{13546214-3858-4EF4-8E37-869EA8EEE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64167</xdr:colOff>
      <xdr:row>8</xdr:row>
      <xdr:rowOff>104273</xdr:rowOff>
    </xdr:from>
    <xdr:to>
      <xdr:col>14</xdr:col>
      <xdr:colOff>417094</xdr:colOff>
      <xdr:row>10</xdr:row>
      <xdr:rowOff>8020</xdr:rowOff>
    </xdr:to>
    <xdr:sp macro="" textlink="">
      <xdr:nvSpPr>
        <xdr:cNvPr id="26" name="TextBox 25">
          <a:extLst>
            <a:ext uri="{FF2B5EF4-FFF2-40B4-BE49-F238E27FC236}">
              <a16:creationId xmlns:a16="http://schemas.microsoft.com/office/drawing/2014/main" id="{661735F2-A76E-4B57-EC68-DC95707AD5B5}"/>
            </a:ext>
          </a:extLst>
        </xdr:cNvPr>
        <xdr:cNvSpPr txBox="1"/>
      </xdr:nvSpPr>
      <xdr:spPr>
        <a:xfrm>
          <a:off x="7379367" y="1580147"/>
          <a:ext cx="1604211" cy="272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 Attend </a:t>
          </a:r>
          <a:r>
            <a:rPr lang="en-IN" sz="1100" baseline="0"/>
            <a:t> Status</a:t>
          </a:r>
        </a:p>
        <a:p>
          <a:endParaRPr lang="en-IN" sz="1100"/>
        </a:p>
      </xdr:txBody>
    </xdr:sp>
    <xdr:clientData/>
  </xdr:twoCellAnchor>
  <xdr:twoCellAnchor>
    <xdr:from>
      <xdr:col>14</xdr:col>
      <xdr:colOff>556258</xdr:colOff>
      <xdr:row>1</xdr:row>
      <xdr:rowOff>38100</xdr:rowOff>
    </xdr:from>
    <xdr:to>
      <xdr:col>18</xdr:col>
      <xdr:colOff>561473</xdr:colOff>
      <xdr:row>9</xdr:row>
      <xdr:rowOff>176463</xdr:rowOff>
    </xdr:to>
    <xdr:graphicFrame macro="">
      <xdr:nvGraphicFramePr>
        <xdr:cNvPr id="30" name="Chart 29">
          <a:extLst>
            <a:ext uri="{FF2B5EF4-FFF2-40B4-BE49-F238E27FC236}">
              <a16:creationId xmlns:a16="http://schemas.microsoft.com/office/drawing/2014/main" id="{653837D8-729D-4C41-879E-9F59D8250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495299</xdr:colOff>
      <xdr:row>10</xdr:row>
      <xdr:rowOff>98258</xdr:rowOff>
    </xdr:from>
    <xdr:to>
      <xdr:col>17</xdr:col>
      <xdr:colOff>553452</xdr:colOff>
      <xdr:row>25</xdr:row>
      <xdr:rowOff>112295</xdr:rowOff>
    </xdr:to>
    <xdr:graphicFrame macro="">
      <xdr:nvGraphicFramePr>
        <xdr:cNvPr id="33" name="Chart 32">
          <a:extLst>
            <a:ext uri="{FF2B5EF4-FFF2-40B4-BE49-F238E27FC236}">
              <a16:creationId xmlns:a16="http://schemas.microsoft.com/office/drawing/2014/main" id="{2EB2F1CA-A861-4F43-9C14-D7D03B526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376989</xdr:colOff>
      <xdr:row>1</xdr:row>
      <xdr:rowOff>112295</xdr:rowOff>
    </xdr:from>
    <xdr:to>
      <xdr:col>11</xdr:col>
      <xdr:colOff>0</xdr:colOff>
      <xdr:row>4</xdr:row>
      <xdr:rowOff>160421</xdr:rowOff>
    </xdr:to>
    <xdr:sp macro="" textlink="">
      <xdr:nvSpPr>
        <xdr:cNvPr id="38" name="Rectangle: Rounded Corners 37">
          <a:extLst>
            <a:ext uri="{FF2B5EF4-FFF2-40B4-BE49-F238E27FC236}">
              <a16:creationId xmlns:a16="http://schemas.microsoft.com/office/drawing/2014/main" id="{1753C099-F4F5-D107-D21A-9BA69A5350E8}"/>
            </a:ext>
          </a:extLst>
        </xdr:cNvPr>
        <xdr:cNvSpPr/>
      </xdr:nvSpPr>
      <xdr:spPr>
        <a:xfrm>
          <a:off x="5253789" y="296779"/>
          <a:ext cx="1451811" cy="601579"/>
        </a:xfrm>
        <a:prstGeom prst="roundRect">
          <a:avLst>
            <a:gd name="adj" fmla="val 7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376989</xdr:colOff>
      <xdr:row>2</xdr:row>
      <xdr:rowOff>40106</xdr:rowOff>
    </xdr:from>
    <xdr:to>
      <xdr:col>11</xdr:col>
      <xdr:colOff>0</xdr:colOff>
      <xdr:row>4</xdr:row>
      <xdr:rowOff>160420</xdr:rowOff>
    </xdr:to>
    <mc:AlternateContent xmlns:mc="http://schemas.openxmlformats.org/markup-compatibility/2006" xmlns:a14="http://schemas.microsoft.com/office/drawing/2010/main">
      <mc:Choice Requires="a14">
        <xdr:graphicFrame macro="">
          <xdr:nvGraphicFramePr>
            <xdr:cNvPr id="39" name="Date (Year) 1">
              <a:extLst>
                <a:ext uri="{FF2B5EF4-FFF2-40B4-BE49-F238E27FC236}">
                  <a16:creationId xmlns:a16="http://schemas.microsoft.com/office/drawing/2014/main" id="{EF769928-367F-481F-85AE-6EB51B5EBF5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253789" y="296778"/>
              <a:ext cx="1451811" cy="60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128337</xdr:colOff>
      <xdr:row>8</xdr:row>
      <xdr:rowOff>96252</xdr:rowOff>
    </xdr:from>
    <xdr:to>
      <xdr:col>17</xdr:col>
      <xdr:colOff>376990</xdr:colOff>
      <xdr:row>10</xdr:row>
      <xdr:rowOff>8021</xdr:rowOff>
    </xdr:to>
    <xdr:sp macro="" textlink="">
      <xdr:nvSpPr>
        <xdr:cNvPr id="40" name="TextBox 39">
          <a:extLst>
            <a:ext uri="{FF2B5EF4-FFF2-40B4-BE49-F238E27FC236}">
              <a16:creationId xmlns:a16="http://schemas.microsoft.com/office/drawing/2014/main" id="{7CF319FB-1A36-4166-1C94-764462D30843}"/>
            </a:ext>
          </a:extLst>
        </xdr:cNvPr>
        <xdr:cNvSpPr txBox="1"/>
      </xdr:nvSpPr>
      <xdr:spPr>
        <a:xfrm>
          <a:off x="9304421" y="1572126"/>
          <a:ext cx="1467853"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Gender Wise Analysis</a:t>
          </a:r>
        </a:p>
      </xdr:txBody>
    </xdr:sp>
    <xdr:clientData/>
  </xdr:twoCellAnchor>
  <xdr:twoCellAnchor>
    <xdr:from>
      <xdr:col>12</xdr:col>
      <xdr:colOff>553453</xdr:colOff>
      <xdr:row>23</xdr:row>
      <xdr:rowOff>160420</xdr:rowOff>
    </xdr:from>
    <xdr:to>
      <xdr:col>16</xdr:col>
      <xdr:colOff>457200</xdr:colOff>
      <xdr:row>25</xdr:row>
      <xdr:rowOff>72189</xdr:rowOff>
    </xdr:to>
    <xdr:sp macro="" textlink="">
      <xdr:nvSpPr>
        <xdr:cNvPr id="41" name="TextBox 40">
          <a:extLst>
            <a:ext uri="{FF2B5EF4-FFF2-40B4-BE49-F238E27FC236}">
              <a16:creationId xmlns:a16="http://schemas.microsoft.com/office/drawing/2014/main" id="{79163668-BD8B-21D0-7EA0-7EE6925B266C}"/>
            </a:ext>
          </a:extLst>
        </xdr:cNvPr>
        <xdr:cNvSpPr txBox="1"/>
      </xdr:nvSpPr>
      <xdr:spPr>
        <a:xfrm>
          <a:off x="7868653" y="4403557"/>
          <a:ext cx="2374231"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 By Departement Referal</a:t>
          </a:r>
        </a:p>
      </xdr:txBody>
    </xdr:sp>
    <xdr:clientData/>
  </xdr:twoCellAnchor>
  <xdr:twoCellAnchor editAs="oneCell">
    <xdr:from>
      <xdr:col>2</xdr:col>
      <xdr:colOff>409073</xdr:colOff>
      <xdr:row>12</xdr:row>
      <xdr:rowOff>16041</xdr:rowOff>
    </xdr:from>
    <xdr:to>
      <xdr:col>11</xdr:col>
      <xdr:colOff>256674</xdr:colOff>
      <xdr:row>15</xdr:row>
      <xdr:rowOff>168442</xdr:rowOff>
    </xdr:to>
    <xdr:pic>
      <xdr:nvPicPr>
        <xdr:cNvPr id="45" name="Picture 44">
          <a:extLst>
            <a:ext uri="{FF2B5EF4-FFF2-40B4-BE49-F238E27FC236}">
              <a16:creationId xmlns:a16="http://schemas.microsoft.com/office/drawing/2014/main" id="{AB8BBBB6-6241-803F-4F2C-E1F0C28A256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28273" y="2229852"/>
          <a:ext cx="5334001" cy="705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3935184" createdVersion="5" refreshedVersion="8" minRefreshableVersion="3" recordCount="0" supportSubquery="1" supportAdvancedDrill="1" xr:uid="{92B29D0B-D5C8-46E1-B2FF-B30BA57FBAB4}">
  <cacheSource type="external" connectionId="3"/>
  <cacheFields count="3">
    <cacheField name="[Calendar Table].[Date (Month)].[Date (Month)]" caption="Date (Month)" numFmtId="0" hierarchy="3" level="1">
      <sharedItems containsSemiMixedTypes="0" containsNonDate="0" containsString="0"/>
    </cacheField>
    <cacheField name="[Measures].[Count of Patient Id]" caption="Count of Patient Id" numFmtId="0" hierarchy="23" level="32767"/>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4166668" createdVersion="5" refreshedVersion="8" minRefreshableVersion="3" recordCount="0" supportSubquery="1" supportAdvancedDrill="1" xr:uid="{95711C92-D5B0-4157-BC02-33596CC7DF48}">
  <cacheSource type="external" connectionId="3"/>
  <cacheFields count="3">
    <cacheField name="[Measures].[Average of Patient Waittime]" caption="Average of Patient Waittime" numFmtId="0" hierarchy="26" level="32767"/>
    <cacheField name="[Calendar Table].[Date (Month)].[Date (Month)]" caption="Date (Month)" numFmtId="0" hierarchy="3" level="1">
      <sharedItems containsSemiMixedTypes="0" containsNonDate="0" containsString="0"/>
    </cacheField>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4398146" createdVersion="5" refreshedVersion="8" minRefreshableVersion="3" recordCount="0" supportSubquery="1" supportAdvancedDrill="1" xr:uid="{5B0CD967-BFD5-4F68-B10E-31BA40B430C9}">
  <cacheSource type="external" connectionId="3"/>
  <cacheFields count="3">
    <cacheField name="[Measures].[Average of Patient Satisfaction Score]" caption="Average of Patient Satisfaction Score" numFmtId="0" hierarchy="28" level="32767"/>
    <cacheField name="[Calendar Table].[Date (Month)].[Date (Month)]" caption="Date (Month)" numFmtId="0" hierarchy="3" level="1">
      <sharedItems containsSemiMixedTypes="0" containsNonDate="0" containsString="0"/>
    </cacheField>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462963" createdVersion="5" refreshedVersion="8" minRefreshableVersion="3" recordCount="0" supportSubquery="1" supportAdvancedDrill="1" xr:uid="{3431F34C-5A7F-4C4E-9D4B-0B8A13B0852A}">
  <cacheSource type="external" connectionId="3"/>
  <cacheFields count="4">
    <cacheField name="[Measures].[Distinct Count of Patient Id]" caption="Distinct Count of Patient Id" numFmtId="0" hierarchy="24" level="32767"/>
    <cacheField name="[Calendar Table].[Date (Month)].[Date (Month)]" caption="Date (Month)" numFmtId="0" hierarchy="3" level="1">
      <sharedItems containsSemiMixedTypes="0" containsNonDate="0" containsString="0"/>
    </cacheField>
    <cacheField name="[Calendar Table].[Date].[Date]" caption="Date" numFmtId="0" level="1">
      <sharedItems containsSemiMixedTypes="0" containsNonDate="0" containsDate="1" containsString="0" minDate="2024-06-01T00:00:00" maxDate="2024-07-01T00:00:00" count="3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2"/>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5092592" createdVersion="5" refreshedVersion="8" minRefreshableVersion="3" recordCount="0" supportSubquery="1" supportAdvancedDrill="1" xr:uid="{3DAC4B20-CD4B-4E56-82FA-18EC8956A363}">
  <cacheSource type="external" connectionId="3"/>
  <cacheFields count="4">
    <cacheField name="[Calendar Table].[Date (Month)].[Date (Month)]" caption="Date (Month)" numFmtId="0" hierarchy="3" level="1">
      <sharedItems containsSemiMixedTypes="0" containsNonDate="0" containsString="0"/>
    </cacheField>
    <cacheField name="[Calendar Table].[Date].[Date]" caption="Date" numFmtId="0" level="1">
      <sharedItems containsSemiMixedTypes="0" containsNonDate="0" containsDate="1" containsString="0" minDate="2024-06-01T00:00:00" maxDate="2024-07-01T00:00:00" count="3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Measures].[Average of Patient Waittime]" caption="Average of Patient Waittime" numFmtId="0" hierarchy="26" level="32767"/>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5439815" createdVersion="5" refreshedVersion="8" minRefreshableVersion="3" recordCount="0" supportSubquery="1" supportAdvancedDrill="1" xr:uid="{ED8C5FD8-0422-4B75-8E97-6FE02E2A7D93}">
  <cacheSource type="external" connectionId="3"/>
  <cacheFields count="4">
    <cacheField name="[Measures].[Average of Patient Satisfaction Score]" caption="Average of Patient Satisfaction Score" numFmtId="0" hierarchy="28" level="32767"/>
    <cacheField name="[Calendar Table].[Date (Month)].[Date (Month)]" caption="Date (Month)" numFmtId="0" hierarchy="3" level="1">
      <sharedItems containsSemiMixedTypes="0" containsNonDate="0" containsString="0"/>
    </cacheField>
    <cacheField name="[Calendar Table].[Date].[Date]" caption="Date" numFmtId="0" level="1">
      <sharedItems containsSemiMixedTypes="0" containsNonDate="0" containsDate="1" containsString="0" minDate="2024-06-01T00:00:00" maxDate="2024-07-01T00:00:00" count="3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2"/>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5787039" createdVersion="5" refreshedVersion="8" minRefreshableVersion="3" recordCount="0" supportSubquery="1" supportAdvancedDrill="1" xr:uid="{5877DBE1-8782-42C4-B066-903FA69FA315}">
  <cacheSource type="external" connectionId="3"/>
  <cacheFields count="5">
    <cacheField name="[Calendar 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 Table].[Date (Year)].[Date (Year)]" caption="Date (Year)" numFmtId="0" hierarchy="1"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6134262" createdVersion="5" refreshedVersion="8" minRefreshableVersion="3" recordCount="0" supportSubquery="1" supportAdvancedDrill="1" xr:uid="{6E393E08-29AA-447F-B255-D5C2F0694033}">
  <cacheSource type="external" connectionId="3"/>
  <cacheFields count="4">
    <cacheField name="[Calendar Table].[Date (Month)].[Date (Month)]" caption="Date (Month)" numFmtId="0" hierarchy="3"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6481485" createdVersion="5" refreshedVersion="8" minRefreshableVersion="3" recordCount="0" supportSubquery="1" supportAdvancedDrill="1" xr:uid="{8F0BFE9A-9258-4720-90FA-C48C98DC6AA1}">
  <cacheSource type="external" connectionId="3"/>
  <cacheFields count="4">
    <cacheField name="[Calendar 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6944447" createdVersion="5" refreshedVersion="8" minRefreshableVersion="3" recordCount="0" supportSubquery="1" supportAdvancedDrill="1" xr:uid="{B25887D8-1008-49AB-A8E7-1E28156915B3}">
  <cacheSource type="external" connectionId="3"/>
  <cacheFields count="4">
    <cacheField name="[Calendar 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6011.64040729167" createdVersion="5" refreshedVersion="8" minRefreshableVersion="3" recordCount="0" supportSubquery="1" supportAdvancedDrill="1" xr:uid="{997D7EB7-E420-4118-88FF-5BD77DBFE3DC}">
  <cacheSource type="external" connectionId="3"/>
  <cacheFields count="4">
    <cacheField name="[Calendar 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 Table].[Date (Year)].[Date (Year)]" caption="Date (Year)" numFmtId="0" hierarchy="1" level="1">
      <sharedItems containsSemiMixedTypes="0" containsNonDate="0" containsString="0"/>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ali Gautam" refreshedDate="45993.608997222225" createdVersion="3" refreshedVersion="8" minRefreshableVersion="3" recordCount="0" supportSubquery="1" supportAdvancedDrill="1" xr:uid="{201AAFD2-F62F-4B23-82AD-AA2752E94E1F}">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4932876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E23B85-653F-482D-BA47-A0DD47DA2398}" name="PivotTable10" cacheId="9" applyNumberFormats="0" applyBorderFormats="0" applyFontFormats="0" applyPatternFormats="0" applyAlignmentFormats="0" applyWidthHeightFormats="1" dataCaption="Values" tag="6308a709-a65b-4d38-b302-aa48c79232a2" updatedVersion="8" minRefreshableVersion="3" useAutoFormatting="1" subtotalHiddenItems="1" itemPrintTitles="1" createdVersion="5" indent="0" outline="1" outlineData="1" multipleFieldFilters="0" chartFormat="43">
  <location ref="E56:F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0">
      <pivotArea outline="0" collapsedLevelsAreSubtotals="1" fieldPosition="0"/>
    </format>
  </formats>
  <chartFormats count="6">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1" count="1" selected="0">
            <x v="1"/>
          </reference>
        </references>
      </pivotArea>
    </chartFormat>
    <chartFormat chart="36" format="2">
      <pivotArea type="data" outline="0" fieldPosition="0">
        <references count="2">
          <reference field="4294967294" count="1" selected="0">
            <x v="0"/>
          </reference>
          <reference field="1" count="1" selected="0">
            <x v="0"/>
          </reference>
        </references>
      </pivotArea>
    </chartFormat>
    <chartFormat chart="40" format="6" series="1">
      <pivotArea type="data" outline="0" fieldPosition="0">
        <references count="1">
          <reference field="4294967294" count="1" selected="0">
            <x v="0"/>
          </reference>
        </references>
      </pivotArea>
    </chartFormat>
    <chartFormat chart="40" format="7">
      <pivotArea type="data" outline="0" fieldPosition="0">
        <references count="2">
          <reference field="4294967294" count="1" selected="0">
            <x v="0"/>
          </reference>
          <reference field="1" count="1" selected="0">
            <x v="0"/>
          </reference>
        </references>
      </pivotArea>
    </chartFormat>
    <chartFormat chart="40" format="8">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1E59DE-E4DF-45A7-B66B-F7B062DDE8F1}" name="PivotTable9" cacheId="8" applyNumberFormats="0" applyBorderFormats="0" applyFontFormats="0" applyPatternFormats="0" applyAlignmentFormats="0" applyWidthHeightFormats="1" dataCaption="Values" tag="6308a709-a65b-4d38-b302-aa48c79232a2" updatedVersion="8" minRefreshableVersion="3" useAutoFormatting="1" subtotalHiddenItems="1" itemPrintTitles="1" createdVersion="5" indent="0" outline="1" outlineData="1" multipleFieldFilters="0" chartFormat="32">
  <location ref="E51:F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
      <pivotArea outline="0" collapsedLevelsAreSubtotals="1" fieldPosition="0"/>
    </format>
  </formats>
  <chartFormats count="11">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 count="1" selected="0">
            <x v="0"/>
          </reference>
        </references>
      </pivotArea>
    </chartFormat>
    <chartFormat chart="23" format="4">
      <pivotArea type="data" outline="0" fieldPosition="0">
        <references count="2">
          <reference field="4294967294" count="1" selected="0">
            <x v="0"/>
          </reference>
          <reference field="1" count="1" selected="0">
            <x v="1"/>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1" count="1" selected="0">
            <x v="0"/>
          </reference>
        </references>
      </pivotArea>
    </chartFormat>
    <chartFormat chart="24" format="7">
      <pivotArea type="data" outline="0" fieldPosition="0">
        <references count="2">
          <reference field="4294967294" count="1" selected="0">
            <x v="0"/>
          </reference>
          <reference field="1"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 count="1" selected="0">
            <x v="0"/>
          </reference>
        </references>
      </pivotArea>
    </chartFormat>
    <chartFormat chart="29" format="10">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F90E7-2365-4F8B-B24C-3B6B143806B4}" name="PivotTable1" cacheId="0" applyNumberFormats="0" applyBorderFormats="0" applyFontFormats="0" applyPatternFormats="0" applyAlignmentFormats="0" applyWidthHeightFormats="1" dataCaption="Values" tag="c3c20e79-6adb-4323-b431-ae49f52c8728" updatedVersion="8" minRefreshableVersion="3" useAutoFormatting="1" subtotalHiddenItems="1" itemPrintTitles="1" createdVersion="5" indent="0" outline="1" outlineData="1" multipleFieldFilters="0">
  <location ref="A1:A2"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1" subtotal="count" baseField="0" baseItem="0"/>
  </dataField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3305C3-062A-4754-8321-0C0F29606C8E}" name="PivotTable4" cacheId="3" applyNumberFormats="0" applyBorderFormats="0" applyFontFormats="0" applyPatternFormats="0" applyAlignmentFormats="0" applyWidthHeightFormats="1" dataCaption="Values" tag="c3c20e79-6adb-4323-b431-ae49f52c8728" updatedVersion="8" minRefreshableVersion="3" useAutoFormatting="1" subtotalHiddenItems="1" itemPrintTitles="1" createdVersion="5" indent="0" outline="1" outlineData="1" multipleFieldFilters="0" chartFormat="19">
  <location ref="A4:B35"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0834B2-A587-43F0-86B0-7121B91B505B}" name="PivotTable8" cacheId="7" applyNumberFormats="0" applyBorderFormats="0" applyFontFormats="0" applyPatternFormats="0" applyAlignmentFormats="0" applyWidthHeightFormats="1" dataCaption="Values" tag="6308a709-a65b-4d38-b302-aa48c79232a2" updatedVersion="8" minRefreshableVersion="3" useAutoFormatting="1" subtotalHiddenItems="1" itemPrintTitles="1" createdVersion="5" indent="0" outline="1" outlineData="1" multipleFieldFilters="0" chartFormat="21">
  <location ref="B51:C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3F056F-EE7C-40CB-8F98-9960065143BB}" name="PivotTable2" cacheId="1" applyNumberFormats="0" applyBorderFormats="0" applyFontFormats="0" applyPatternFormats="0" applyAlignmentFormats="0" applyWidthHeightFormats="1" dataCaption="Values" tag="6308a709-a65b-4d38-b302-aa48c79232a2" updatedVersion="8" minRefreshableVersion="3" useAutoFormatting="1" subtotalHiddenItems="1" itemPrintTitles="1" createdVersion="5" indent="0" outline="1" outlineData="1" multipleFieldFilters="0">
  <location ref="D1:D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8847AF-0949-4E97-B2C9-A30C1259D05F}" name="PivotTable5" cacheId="4" applyNumberFormats="0" applyBorderFormats="0" applyFontFormats="0" applyPatternFormats="0" applyAlignmentFormats="0" applyWidthHeightFormats="1" dataCaption="Values" tag="6308a709-a65b-4d38-b302-aa48c79232a2" updatedVersion="8" minRefreshableVersion="3" useAutoFormatting="1" subtotalHiddenItems="1" itemPrintTitles="1" createdVersion="5" indent="0" outline="1" outlineData="1" multipleFieldFilters="0" chartFormat="18">
  <location ref="E5:F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4">
      <pivotArea outline="0" collapsedLevelsAreSubtotals="1" fieldPosition="0"/>
    </format>
  </formats>
  <chartFormats count="1">
    <chartFormat chart="9"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C1CD0B-002C-492C-9628-703CD306E480}" name="PivotTable11" cacheId="10" applyNumberFormats="0" applyBorderFormats="0" applyFontFormats="0" applyPatternFormats="0" applyAlignmentFormats="0" applyWidthHeightFormats="1" dataCaption="Values" tag="6308a709-a65b-4d38-b302-aa48c79232a2" updatedVersion="8" minRefreshableVersion="3" useAutoFormatting="1" subtotalHiddenItems="1" itemPrintTitles="1" createdVersion="5" indent="0" outline="1" outlineData="1" multipleFieldFilters="0" chartFormat="44">
  <location ref="H51:I6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1">
    <format dxfId="5">
      <pivotArea outline="0" collapsedLevelsAreSubtotals="1" fieldPosition="0"/>
    </format>
  </formats>
  <chartFormats count="3">
    <chartFormat chart="32"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5EE4EB-308D-4432-BAD3-13FAF18AE5FB}" name="PivotTable7" cacheId="6" applyNumberFormats="0" applyBorderFormats="0" applyFontFormats="0" applyPatternFormats="0" applyAlignmentFormats="0" applyWidthHeightFormats="1" dataCaption="Values" tag="6308a709-a65b-4d38-b302-aa48c79232a2" updatedVersion="8" minRefreshableVersion="3" subtotalHiddenItems="1" itemPrintTitles="1" createdVersion="5" indent="0" outline="1" outlineData="1" multipleFieldFilters="0" chartFormat="41">
  <location ref="B40:D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6">
    <format dxfId="11">
      <pivotArea outline="0" collapsedLevelsAreSubtotals="1" fieldPosition="0"/>
    </format>
    <format dxfId="10">
      <pivotArea collapsedLevelsAreSubtotals="1" fieldPosition="0">
        <references count="2">
          <reference field="4294967294" count="1" selected="0">
            <x v="0"/>
          </reference>
          <reference field="1" count="1">
            <x v="0"/>
          </reference>
        </references>
      </pivotArea>
    </format>
    <format dxfId="9">
      <pivotArea collapsedLevelsAreSubtotals="1" fieldPosition="0">
        <references count="2">
          <reference field="4294967294" count="1" selected="0">
            <x v="0"/>
          </reference>
          <reference field="1" count="1">
            <x v="1"/>
          </reference>
        </references>
      </pivotArea>
    </format>
    <format dxfId="8">
      <pivotArea outline="0" fieldPosition="0">
        <references count="1">
          <reference field="4294967294" count="1">
            <x v="1"/>
          </reference>
        </references>
      </pivotArea>
    </format>
    <format dxfId="7">
      <pivotArea collapsedLevelsAreSubtotals="1" fieldPosition="0">
        <references count="2">
          <reference field="4294967294" count="1" selected="0">
            <x v="1"/>
          </reference>
          <reference field="1" count="1">
            <x v="0"/>
          </reference>
        </references>
      </pivotArea>
    </format>
    <format dxfId="6">
      <pivotArea collapsedLevelsAreSubtotals="1" fieldPosition="0">
        <references count="2">
          <reference field="4294967294" count="1" selected="0">
            <x v="1"/>
          </reference>
          <reference field="1" count="1">
            <x v="1"/>
          </reference>
        </references>
      </pivotArea>
    </format>
  </formats>
  <chartFormats count="1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pivotArea type="data" outline="0" fieldPosition="0">
        <references count="2">
          <reference field="4294967294" count="1" selected="0">
            <x v="0"/>
          </reference>
          <reference field="1" count="1" selected="0">
            <x v="1"/>
          </reference>
        </references>
      </pivotArea>
    </chartFormat>
    <chartFormat chart="12" format="3">
      <pivotArea type="data" outline="0" fieldPosition="0">
        <references count="2">
          <reference field="4294967294" count="1" selected="0">
            <x v="0"/>
          </reference>
          <reference field="1"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pivotArea type="data" outline="0" fieldPosition="0">
        <references count="2">
          <reference field="4294967294" count="1" selected="0">
            <x v="0"/>
          </reference>
          <reference field="1" count="1" selected="0">
            <x v="0"/>
          </reference>
        </references>
      </pivotArea>
    </chartFormat>
    <chartFormat chart="23" format="3">
      <pivotArea type="data" outline="0" fieldPosition="0">
        <references count="2">
          <reference field="4294967294" count="1" selected="0">
            <x v="0"/>
          </reference>
          <reference field="1" count="1" selected="0">
            <x v="1"/>
          </reference>
        </references>
      </pivotArea>
    </chartFormat>
    <chartFormat chart="35" format="8" series="1">
      <pivotArea type="data" outline="0" fieldPosition="0">
        <references count="1">
          <reference field="4294967294" count="1" selected="0">
            <x v="0"/>
          </reference>
        </references>
      </pivotArea>
    </chartFormat>
    <chartFormat chart="35" format="9">
      <pivotArea type="data" outline="0" fieldPosition="0">
        <references count="2">
          <reference field="4294967294" count="1" selected="0">
            <x v="0"/>
          </reference>
          <reference field="1" count="1" selected="0">
            <x v="0"/>
          </reference>
        </references>
      </pivotArea>
    </chartFormat>
    <chartFormat chart="35" format="10">
      <pivotArea type="data" outline="0" fieldPosition="0">
        <references count="2">
          <reference field="4294967294" count="1" selected="0">
            <x v="0"/>
          </reference>
          <reference field="1" count="1" selected="0">
            <x v="1"/>
          </reference>
        </references>
      </pivotArea>
    </chartFormat>
    <chartFormat chart="35" format="1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DEEE03-9044-4581-A29F-9A99DF06EAF0}" name="PivotTable6" cacheId="5" applyNumberFormats="0" applyBorderFormats="0" applyFontFormats="0" applyPatternFormats="0" applyAlignmentFormats="0" applyWidthHeightFormats="1" dataCaption="Values" tag="47fd6874-3af6-44e2-83d4-ca5feea68bb9" updatedVersion="8" minRefreshableVersion="3" useAutoFormatting="1" subtotalHiddenItems="1" itemPrintTitles="1" createdVersion="5" indent="0" outline="1" outlineData="1" multipleFieldFilters="0" chartFormat="8">
  <location ref="K5:L3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0" subtotal="average" baseField="0" baseItem="0"/>
  </dataFields>
  <formats count="1">
    <format dxfId="12">
      <pivotArea outline="0" collapsedLevelsAreSubtotals="1"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0C3B3A-923A-44C2-B785-1D88E28378DE}" name="PivotTable3" cacheId="2" applyNumberFormats="0" applyBorderFormats="0" applyFontFormats="0" applyPatternFormats="0" applyAlignmentFormats="0" applyWidthHeightFormats="1" dataCaption="Values" tag="47fd6874-3af6-44e2-83d4-ca5feea68bb9" updatedVersion="8" minRefreshableVersion="3" useAutoFormatting="1" subtotalHiddenItems="1" itemPrintTitles="1" createdVersion="5" indent="0" outline="1" outlineData="1" multipleFieldFilters="0">
  <location ref="F1:F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3">
      <pivotArea outline="0" collapsedLevelsAreSubtotals="1" fieldPosition="0"/>
    </format>
  </formats>
  <pivotHierarchies count="36">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C979481-B8A0-4DEA-B95E-7321EF200B13}" sourceName="[Calendar Table].[Date (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s>
  <data>
    <olap pivotCacheId="493287698">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nd="1"/>
              <i n="[Calendar Table].[Date (Month)].&amp;[Dec]" c="Dec" nd="1"/>
            </range>
          </ranges>
        </level>
      </levels>
      <selections count="1">
        <selection n="[Calendar 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46EBCAD-A9F2-4A8D-A671-3208055A918B}" sourceName="[Calendar Table].[Date (Year)]">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data>
    <olap pivotCacheId="493287698">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9FA355C-47A0-48C3-8E8F-C2FD54110F6C}" cache="Slicer_Date__Month" caption="Date (Month)" showCaption="0" level="1" style="SlicerStyleDark2 " rowHeight="234950"/>
  <slicer name="Date (Year) 1" xr10:uid="{8FED903C-BC13-4EA7-B558-8132C28CCFAE}" cache="Slicer_Date__Year" caption="Date (Year)" columnCount="2" showCaption="0" level="1" style="SlicerStyleDark2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95DB9-CD84-45FD-BCE5-B9C51949A7D5}">
  <dimension ref="A1:L60"/>
  <sheetViews>
    <sheetView showGridLines="0" topLeftCell="A28" workbookViewId="0">
      <selection activeCell="E42" sqref="E42"/>
    </sheetView>
  </sheetViews>
  <sheetFormatPr defaultRowHeight="14.4" x14ac:dyDescent="0.3"/>
  <cols>
    <col min="1" max="2" width="12.5546875" bestFit="1" customWidth="1"/>
    <col min="3" max="3" width="17.88671875" bestFit="1" customWidth="1"/>
    <col min="4" max="4" width="25" bestFit="1" customWidth="1"/>
    <col min="5" max="5" width="12.5546875" bestFit="1" customWidth="1"/>
    <col min="6" max="6" width="21.6640625" bestFit="1" customWidth="1"/>
    <col min="7" max="7" width="15.5546875" bestFit="1" customWidth="1"/>
    <col min="8" max="8" width="15.33203125" bestFit="1" customWidth="1"/>
    <col min="9" max="9" width="26.33203125" bestFit="1" customWidth="1"/>
    <col min="10" max="10" width="15.5546875" bestFit="1" customWidth="1"/>
    <col min="11" max="11" width="12.5546875" bestFit="1" customWidth="1"/>
    <col min="12" max="12" width="32.44140625" bestFit="1" customWidth="1"/>
    <col min="13" max="65" width="15.5546875" bestFit="1" customWidth="1"/>
    <col min="66" max="66" width="10.77734375" bestFit="1" customWidth="1"/>
  </cols>
  <sheetData>
    <row r="1" spans="1:12" x14ac:dyDescent="0.3">
      <c r="A1" t="s">
        <v>8</v>
      </c>
      <c r="C1" s="1"/>
      <c r="D1" t="s">
        <v>1</v>
      </c>
      <c r="F1" t="s">
        <v>2</v>
      </c>
    </row>
    <row r="2" spans="1:12" x14ac:dyDescent="0.3">
      <c r="A2">
        <v>485</v>
      </c>
      <c r="D2" s="2">
        <v>35.507216494845359</v>
      </c>
      <c r="F2" s="2">
        <v>4.7092198581560281</v>
      </c>
    </row>
    <row r="4" spans="1:12" x14ac:dyDescent="0.3">
      <c r="A4" s="4" t="s">
        <v>3</v>
      </c>
      <c r="B4" t="s">
        <v>0</v>
      </c>
    </row>
    <row r="5" spans="1:12" x14ac:dyDescent="0.3">
      <c r="A5" s="5">
        <v>45444</v>
      </c>
      <c r="B5">
        <v>17</v>
      </c>
      <c r="E5" s="4" t="s">
        <v>3</v>
      </c>
      <c r="F5" t="s">
        <v>1</v>
      </c>
      <c r="K5" s="4" t="s">
        <v>3</v>
      </c>
      <c r="L5" t="s">
        <v>2</v>
      </c>
    </row>
    <row r="6" spans="1:12" x14ac:dyDescent="0.3">
      <c r="A6" s="5">
        <v>45445</v>
      </c>
      <c r="B6">
        <v>10</v>
      </c>
      <c r="E6" s="5">
        <v>45444</v>
      </c>
      <c r="F6" s="2">
        <v>33.352941176470587</v>
      </c>
      <c r="K6" s="5">
        <v>45444</v>
      </c>
      <c r="L6" s="2">
        <v>4.75</v>
      </c>
    </row>
    <row r="7" spans="1:12" x14ac:dyDescent="0.3">
      <c r="A7" s="5">
        <v>45446</v>
      </c>
      <c r="B7">
        <v>23</v>
      </c>
      <c r="E7" s="5">
        <v>45445</v>
      </c>
      <c r="F7" s="2">
        <v>38.4</v>
      </c>
      <c r="K7" s="5">
        <v>45445</v>
      </c>
      <c r="L7" s="2">
        <v>5.2</v>
      </c>
    </row>
    <row r="8" spans="1:12" x14ac:dyDescent="0.3">
      <c r="A8" s="5">
        <v>45447</v>
      </c>
      <c r="B8">
        <v>15</v>
      </c>
      <c r="E8" s="5">
        <v>45446</v>
      </c>
      <c r="F8" s="2">
        <v>38.521739130434781</v>
      </c>
      <c r="K8" s="5">
        <v>45446</v>
      </c>
      <c r="L8" s="2">
        <v>3.375</v>
      </c>
    </row>
    <row r="9" spans="1:12" x14ac:dyDescent="0.3">
      <c r="A9" s="5">
        <v>45448</v>
      </c>
      <c r="B9">
        <v>14</v>
      </c>
      <c r="E9" s="5">
        <v>45447</v>
      </c>
      <c r="F9" s="2">
        <v>30.4</v>
      </c>
      <c r="K9" s="5">
        <v>45447</v>
      </c>
      <c r="L9" s="2">
        <v>5.8</v>
      </c>
    </row>
    <row r="10" spans="1:12" x14ac:dyDescent="0.3">
      <c r="A10" s="5">
        <v>45449</v>
      </c>
      <c r="B10">
        <v>11</v>
      </c>
      <c r="E10" s="5">
        <v>45448</v>
      </c>
      <c r="F10" s="2">
        <v>33.142857142857146</v>
      </c>
      <c r="K10" s="5">
        <v>45448</v>
      </c>
      <c r="L10" s="2">
        <v>4.375</v>
      </c>
    </row>
    <row r="11" spans="1:12" x14ac:dyDescent="0.3">
      <c r="A11" s="5">
        <v>45450</v>
      </c>
      <c r="B11">
        <v>15</v>
      </c>
      <c r="E11" s="5">
        <v>45449</v>
      </c>
      <c r="F11" s="2">
        <v>38.18181818181818</v>
      </c>
      <c r="K11" s="5">
        <v>45449</v>
      </c>
      <c r="L11" s="2">
        <v>3</v>
      </c>
    </row>
    <row r="12" spans="1:12" x14ac:dyDescent="0.3">
      <c r="A12" s="5">
        <v>45451</v>
      </c>
      <c r="B12">
        <v>20</v>
      </c>
      <c r="E12" s="5">
        <v>45450</v>
      </c>
      <c r="F12" s="2">
        <v>39.733333333333334</v>
      </c>
      <c r="K12" s="5">
        <v>45450</v>
      </c>
      <c r="L12" s="2">
        <v>5</v>
      </c>
    </row>
    <row r="13" spans="1:12" x14ac:dyDescent="0.3">
      <c r="A13" s="5">
        <v>45452</v>
      </c>
      <c r="B13">
        <v>21</v>
      </c>
      <c r="E13" s="5">
        <v>45451</v>
      </c>
      <c r="F13" s="2">
        <v>37</v>
      </c>
      <c r="K13" s="5">
        <v>45451</v>
      </c>
      <c r="L13" s="2">
        <v>3</v>
      </c>
    </row>
    <row r="14" spans="1:12" x14ac:dyDescent="0.3">
      <c r="A14" s="5">
        <v>45453</v>
      </c>
      <c r="B14">
        <v>17</v>
      </c>
      <c r="E14" s="5">
        <v>45452</v>
      </c>
      <c r="F14" s="2">
        <v>35.61904761904762</v>
      </c>
      <c r="K14" s="5">
        <v>45452</v>
      </c>
      <c r="L14" s="2">
        <v>4.9090909090909092</v>
      </c>
    </row>
    <row r="15" spans="1:12" x14ac:dyDescent="0.3">
      <c r="A15" s="5">
        <v>45454</v>
      </c>
      <c r="B15">
        <v>17</v>
      </c>
      <c r="E15" s="5">
        <v>45453</v>
      </c>
      <c r="F15" s="2">
        <v>34.176470588235297</v>
      </c>
      <c r="K15" s="5">
        <v>45453</v>
      </c>
      <c r="L15" s="2">
        <v>3.8333333333333335</v>
      </c>
    </row>
    <row r="16" spans="1:12" x14ac:dyDescent="0.3">
      <c r="A16" s="5">
        <v>45455</v>
      </c>
      <c r="B16">
        <v>17</v>
      </c>
      <c r="E16" s="5">
        <v>45454</v>
      </c>
      <c r="F16" s="2">
        <v>37.176470588235297</v>
      </c>
      <c r="K16" s="5">
        <v>45454</v>
      </c>
      <c r="L16" s="2">
        <v>3.875</v>
      </c>
    </row>
    <row r="17" spans="1:12" x14ac:dyDescent="0.3">
      <c r="A17" s="5">
        <v>45456</v>
      </c>
      <c r="B17">
        <v>17</v>
      </c>
      <c r="E17" s="5">
        <v>45455</v>
      </c>
      <c r="F17" s="2">
        <v>36.647058823529413</v>
      </c>
      <c r="K17" s="5">
        <v>45455</v>
      </c>
      <c r="L17" s="2">
        <v>4.333333333333333</v>
      </c>
    </row>
    <row r="18" spans="1:12" x14ac:dyDescent="0.3">
      <c r="A18" s="5">
        <v>45457</v>
      </c>
      <c r="B18">
        <v>11</v>
      </c>
      <c r="E18" s="5">
        <v>45456</v>
      </c>
      <c r="F18" s="2">
        <v>34.941176470588232</v>
      </c>
      <c r="K18" s="5">
        <v>45456</v>
      </c>
      <c r="L18" s="2">
        <v>3.5</v>
      </c>
    </row>
    <row r="19" spans="1:12" x14ac:dyDescent="0.3">
      <c r="A19" s="5">
        <v>45458</v>
      </c>
      <c r="B19">
        <v>23</v>
      </c>
      <c r="E19" s="5">
        <v>45457</v>
      </c>
      <c r="F19" s="2">
        <v>44</v>
      </c>
      <c r="K19" s="5">
        <v>45457</v>
      </c>
      <c r="L19" s="2">
        <v>5.4</v>
      </c>
    </row>
    <row r="20" spans="1:12" x14ac:dyDescent="0.3">
      <c r="A20" s="5">
        <v>45459</v>
      </c>
      <c r="B20">
        <v>14</v>
      </c>
      <c r="E20" s="5">
        <v>45458</v>
      </c>
      <c r="F20" s="2">
        <v>38.913043478260867</v>
      </c>
      <c r="K20" s="5">
        <v>45458</v>
      </c>
      <c r="L20" s="2">
        <v>5.375</v>
      </c>
    </row>
    <row r="21" spans="1:12" x14ac:dyDescent="0.3">
      <c r="A21" s="5">
        <v>45460</v>
      </c>
      <c r="B21">
        <v>22</v>
      </c>
      <c r="E21" s="5">
        <v>45459</v>
      </c>
      <c r="F21" s="2">
        <v>31</v>
      </c>
      <c r="K21" s="5">
        <v>45459</v>
      </c>
      <c r="L21" s="2">
        <v>3.3333333333333335</v>
      </c>
    </row>
    <row r="22" spans="1:12" x14ac:dyDescent="0.3">
      <c r="A22" s="5">
        <v>45461</v>
      </c>
      <c r="B22">
        <v>16</v>
      </c>
      <c r="E22" s="5">
        <v>45460</v>
      </c>
      <c r="F22" s="2">
        <v>34.227272727272727</v>
      </c>
      <c r="K22" s="5">
        <v>45460</v>
      </c>
      <c r="L22" s="2">
        <v>6.2</v>
      </c>
    </row>
    <row r="23" spans="1:12" x14ac:dyDescent="0.3">
      <c r="A23" s="5">
        <v>45462</v>
      </c>
      <c r="B23">
        <v>13</v>
      </c>
      <c r="E23" s="5">
        <v>45461</v>
      </c>
      <c r="F23" s="2">
        <v>31</v>
      </c>
      <c r="K23" s="5">
        <v>45461</v>
      </c>
      <c r="L23" s="2">
        <v>1.6666666666666667</v>
      </c>
    </row>
    <row r="24" spans="1:12" x14ac:dyDescent="0.3">
      <c r="A24" s="5">
        <v>45463</v>
      </c>
      <c r="B24">
        <v>14</v>
      </c>
      <c r="E24" s="5">
        <v>45462</v>
      </c>
      <c r="F24" s="2">
        <v>32.153846153846153</v>
      </c>
      <c r="K24" s="5">
        <v>45462</v>
      </c>
      <c r="L24" s="2">
        <v>4.5</v>
      </c>
    </row>
    <row r="25" spans="1:12" x14ac:dyDescent="0.3">
      <c r="A25" s="5">
        <v>45464</v>
      </c>
      <c r="B25">
        <v>12</v>
      </c>
      <c r="E25" s="5">
        <v>45463</v>
      </c>
      <c r="F25" s="2">
        <v>32.785714285714285</v>
      </c>
      <c r="K25" s="5">
        <v>45463</v>
      </c>
      <c r="L25" s="2">
        <v>7.666666666666667</v>
      </c>
    </row>
    <row r="26" spans="1:12" x14ac:dyDescent="0.3">
      <c r="A26" s="5">
        <v>45465</v>
      </c>
      <c r="B26">
        <v>12</v>
      </c>
      <c r="E26" s="5">
        <v>45464</v>
      </c>
      <c r="F26" s="2">
        <v>30</v>
      </c>
      <c r="K26" s="5">
        <v>45464</v>
      </c>
      <c r="L26" s="2">
        <v>4.4000000000000004</v>
      </c>
    </row>
    <row r="27" spans="1:12" x14ac:dyDescent="0.3">
      <c r="A27" s="5">
        <v>45466</v>
      </c>
      <c r="B27">
        <v>20</v>
      </c>
      <c r="E27" s="5">
        <v>45465</v>
      </c>
      <c r="F27" s="2">
        <v>33.5</v>
      </c>
      <c r="K27" s="5">
        <v>45465</v>
      </c>
      <c r="L27" s="2">
        <v>6.5</v>
      </c>
    </row>
    <row r="28" spans="1:12" x14ac:dyDescent="0.3">
      <c r="A28" s="5">
        <v>45467</v>
      </c>
      <c r="B28">
        <v>19</v>
      </c>
      <c r="E28" s="5">
        <v>45466</v>
      </c>
      <c r="F28" s="2">
        <v>32.950000000000003</v>
      </c>
      <c r="K28" s="5">
        <v>45466</v>
      </c>
      <c r="L28" s="2">
        <v>5</v>
      </c>
    </row>
    <row r="29" spans="1:12" x14ac:dyDescent="0.3">
      <c r="A29" s="5">
        <v>45468</v>
      </c>
      <c r="B29">
        <v>13</v>
      </c>
      <c r="E29" s="5">
        <v>45467</v>
      </c>
      <c r="F29" s="2">
        <v>35.842105263157897</v>
      </c>
      <c r="K29" s="5">
        <v>45467</v>
      </c>
      <c r="L29" s="2">
        <v>5.25</v>
      </c>
    </row>
    <row r="30" spans="1:12" x14ac:dyDescent="0.3">
      <c r="A30" s="5">
        <v>45469</v>
      </c>
      <c r="B30">
        <v>15</v>
      </c>
      <c r="E30" s="5">
        <v>45468</v>
      </c>
      <c r="F30" s="2">
        <v>33.846153846153847</v>
      </c>
      <c r="K30" s="5">
        <v>45468</v>
      </c>
      <c r="L30" s="2">
        <v>4.75</v>
      </c>
    </row>
    <row r="31" spans="1:12" x14ac:dyDescent="0.3">
      <c r="A31" s="5">
        <v>45470</v>
      </c>
      <c r="B31">
        <v>19</v>
      </c>
      <c r="E31" s="5">
        <v>45469</v>
      </c>
      <c r="F31" s="2">
        <v>39.06666666666667</v>
      </c>
      <c r="K31" s="5">
        <v>45469</v>
      </c>
      <c r="L31" s="2">
        <v>5</v>
      </c>
    </row>
    <row r="32" spans="1:12" x14ac:dyDescent="0.3">
      <c r="A32" s="5">
        <v>45471</v>
      </c>
      <c r="B32">
        <v>17</v>
      </c>
      <c r="E32" s="5">
        <v>45470</v>
      </c>
      <c r="F32" s="2">
        <v>36.684210526315788</v>
      </c>
      <c r="K32" s="5">
        <v>45470</v>
      </c>
      <c r="L32" s="2">
        <v>4</v>
      </c>
    </row>
    <row r="33" spans="1:12" x14ac:dyDescent="0.3">
      <c r="A33" s="5">
        <v>45472</v>
      </c>
      <c r="B33">
        <v>15</v>
      </c>
      <c r="E33" s="5">
        <v>45471</v>
      </c>
      <c r="F33" s="2">
        <v>33.764705882352942</v>
      </c>
      <c r="K33" s="5">
        <v>45471</v>
      </c>
      <c r="L33" s="2">
        <v>5.333333333333333</v>
      </c>
    </row>
    <row r="34" spans="1:12" x14ac:dyDescent="0.3">
      <c r="A34" s="5">
        <v>45473</v>
      </c>
      <c r="B34">
        <v>16</v>
      </c>
      <c r="E34" s="5">
        <v>45472</v>
      </c>
      <c r="F34" s="2">
        <v>34.533333333333331</v>
      </c>
      <c r="K34" s="5">
        <v>45472</v>
      </c>
      <c r="L34" s="2">
        <v>6</v>
      </c>
    </row>
    <row r="35" spans="1:12" x14ac:dyDescent="0.3">
      <c r="A35" s="6" t="s">
        <v>4</v>
      </c>
      <c r="B35">
        <v>485</v>
      </c>
      <c r="E35" s="5">
        <v>45473</v>
      </c>
      <c r="F35" s="2">
        <v>42.125</v>
      </c>
      <c r="K35" s="5">
        <v>45473</v>
      </c>
      <c r="L35" s="2">
        <v>6.333333333333333</v>
      </c>
    </row>
    <row r="36" spans="1:12" x14ac:dyDescent="0.3">
      <c r="E36" s="6" t="s">
        <v>4</v>
      </c>
      <c r="F36" s="2">
        <v>35.507216494845359</v>
      </c>
      <c r="K36" s="6" t="s">
        <v>4</v>
      </c>
      <c r="L36" s="2">
        <v>4.7092198581560281</v>
      </c>
    </row>
    <row r="40" spans="1:12" x14ac:dyDescent="0.3">
      <c r="B40" s="4" t="s">
        <v>3</v>
      </c>
      <c r="C40" t="s">
        <v>7</v>
      </c>
      <c r="D40" t="s">
        <v>9</v>
      </c>
    </row>
    <row r="41" spans="1:12" x14ac:dyDescent="0.3">
      <c r="B41" s="6" t="s">
        <v>5</v>
      </c>
      <c r="C41" s="7">
        <v>235</v>
      </c>
      <c r="D41" s="9">
        <v>0.4845360824742268</v>
      </c>
    </row>
    <row r="42" spans="1:12" x14ac:dyDescent="0.3">
      <c r="B42" s="6" t="s">
        <v>6</v>
      </c>
      <c r="C42" s="7">
        <v>250</v>
      </c>
      <c r="D42" s="9">
        <v>0.51546391752577314</v>
      </c>
    </row>
    <row r="43" spans="1:12" x14ac:dyDescent="0.3">
      <c r="B43" s="6" t="s">
        <v>4</v>
      </c>
      <c r="C43" s="2">
        <v>485</v>
      </c>
      <c r="D43" s="8">
        <v>1</v>
      </c>
    </row>
    <row r="46" spans="1:12" x14ac:dyDescent="0.3">
      <c r="B46" s="11" t="s">
        <v>10</v>
      </c>
      <c r="C46" s="11" t="s">
        <v>12</v>
      </c>
      <c r="D46" s="11" t="s">
        <v>11</v>
      </c>
      <c r="E46" s="13"/>
      <c r="F46" s="10"/>
    </row>
    <row r="47" spans="1:12" x14ac:dyDescent="0.3">
      <c r="B47" s="6" t="str">
        <f>B42</f>
        <v>Not Admitted</v>
      </c>
      <c r="C47" s="6">
        <f>C42</f>
        <v>250</v>
      </c>
      <c r="D47" s="12">
        <f>D42</f>
        <v>0.51546391752577314</v>
      </c>
      <c r="E47" s="6"/>
    </row>
    <row r="48" spans="1:12" x14ac:dyDescent="0.3">
      <c r="B48" s="6" t="str">
        <f>B41</f>
        <v>Admitted</v>
      </c>
      <c r="C48" s="6">
        <f>C41</f>
        <v>235</v>
      </c>
      <c r="D48" s="12">
        <f>D41</f>
        <v>0.4845360824742268</v>
      </c>
      <c r="E48" s="6"/>
    </row>
    <row r="51" spans="2:9" x14ac:dyDescent="0.3">
      <c r="B51" s="4" t="s">
        <v>3</v>
      </c>
      <c r="C51" t="s">
        <v>21</v>
      </c>
      <c r="E51" s="4" t="s">
        <v>3</v>
      </c>
      <c r="F51" t="s">
        <v>24</v>
      </c>
      <c r="H51" s="4" t="s">
        <v>3</v>
      </c>
      <c r="I51" t="s">
        <v>36</v>
      </c>
    </row>
    <row r="52" spans="2:9" x14ac:dyDescent="0.3">
      <c r="B52" s="6" t="s">
        <v>13</v>
      </c>
      <c r="C52" s="7">
        <v>59</v>
      </c>
      <c r="E52" s="6" t="s">
        <v>22</v>
      </c>
      <c r="F52" s="7">
        <v>297</v>
      </c>
      <c r="H52" s="6" t="s">
        <v>35</v>
      </c>
      <c r="I52" s="7">
        <v>2</v>
      </c>
    </row>
    <row r="53" spans="2:9" x14ac:dyDescent="0.3">
      <c r="B53" s="6" t="s">
        <v>14</v>
      </c>
      <c r="C53" s="7">
        <v>55</v>
      </c>
      <c r="E53" s="6" t="s">
        <v>23</v>
      </c>
      <c r="F53" s="7">
        <v>188</v>
      </c>
      <c r="H53" s="6" t="s">
        <v>34</v>
      </c>
      <c r="I53" s="7">
        <v>11</v>
      </c>
    </row>
    <row r="54" spans="2:9" x14ac:dyDescent="0.3">
      <c r="B54" s="6" t="s">
        <v>15</v>
      </c>
      <c r="C54" s="7">
        <v>69</v>
      </c>
      <c r="E54" s="6" t="s">
        <v>4</v>
      </c>
      <c r="F54" s="7">
        <v>485</v>
      </c>
      <c r="H54" s="6" t="s">
        <v>31</v>
      </c>
      <c r="I54" s="7">
        <v>12</v>
      </c>
    </row>
    <row r="55" spans="2:9" x14ac:dyDescent="0.3">
      <c r="B55" s="6" t="s">
        <v>16</v>
      </c>
      <c r="C55" s="7">
        <v>64</v>
      </c>
      <c r="H55" s="6" t="s">
        <v>29</v>
      </c>
      <c r="I55" s="7">
        <v>12</v>
      </c>
    </row>
    <row r="56" spans="2:9" x14ac:dyDescent="0.3">
      <c r="B56" s="6" t="s">
        <v>17</v>
      </c>
      <c r="C56" s="7">
        <v>56</v>
      </c>
      <c r="E56" s="4" t="s">
        <v>3</v>
      </c>
      <c r="F56" t="s">
        <v>27</v>
      </c>
      <c r="H56" s="6" t="s">
        <v>28</v>
      </c>
      <c r="I56" s="7">
        <v>13</v>
      </c>
    </row>
    <row r="57" spans="2:9" x14ac:dyDescent="0.3">
      <c r="B57" s="6" t="s">
        <v>18</v>
      </c>
      <c r="C57" s="7">
        <v>60</v>
      </c>
      <c r="E57" s="6" t="s">
        <v>25</v>
      </c>
      <c r="F57" s="7">
        <v>239</v>
      </c>
      <c r="H57" s="6" t="s">
        <v>33</v>
      </c>
      <c r="I57" s="7">
        <v>53</v>
      </c>
    </row>
    <row r="58" spans="2:9" x14ac:dyDescent="0.3">
      <c r="B58" s="6" t="s">
        <v>19</v>
      </c>
      <c r="C58" s="7">
        <v>51</v>
      </c>
      <c r="E58" s="6" t="s">
        <v>26</v>
      </c>
      <c r="F58" s="7">
        <v>246</v>
      </c>
      <c r="H58" s="6" t="s">
        <v>30</v>
      </c>
      <c r="I58" s="7">
        <v>91</v>
      </c>
    </row>
    <row r="59" spans="2:9" x14ac:dyDescent="0.3">
      <c r="B59" s="6" t="s">
        <v>20</v>
      </c>
      <c r="C59" s="7">
        <v>71</v>
      </c>
      <c r="E59" s="6" t="s">
        <v>4</v>
      </c>
      <c r="F59" s="7">
        <v>485</v>
      </c>
      <c r="H59" s="6" t="s">
        <v>32</v>
      </c>
      <c r="I59" s="7">
        <v>291</v>
      </c>
    </row>
    <row r="60" spans="2:9" x14ac:dyDescent="0.3">
      <c r="B60" s="6" t="s">
        <v>4</v>
      </c>
      <c r="C60" s="7">
        <v>485</v>
      </c>
      <c r="H60" s="6" t="s">
        <v>4</v>
      </c>
      <c r="I60" s="7">
        <v>485</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DC2E-C837-4311-80BA-FBB1696B3289}">
  <dimension ref="A1:W27"/>
  <sheetViews>
    <sheetView showGridLines="0" tabSelected="1" zoomScale="95" zoomScaleNormal="95" workbookViewId="0">
      <selection activeCell="Y11" sqref="Y11"/>
    </sheetView>
  </sheetViews>
  <sheetFormatPr defaultRowHeight="14.4" x14ac:dyDescent="0.3"/>
  <cols>
    <col min="13" max="13" width="9.33203125" customWidth="1"/>
  </cols>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3"/>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x14ac:dyDescent="0.3">
      <c r="A9" s="3"/>
      <c r="B9" s="3"/>
      <c r="C9" s="3"/>
      <c r="D9" s="3"/>
      <c r="E9" s="3"/>
      <c r="F9" s="3"/>
      <c r="G9" s="3"/>
      <c r="H9" s="3"/>
      <c r="I9" s="3"/>
      <c r="J9" s="3"/>
      <c r="K9" s="3"/>
      <c r="L9" s="3"/>
      <c r="M9" s="3"/>
      <c r="N9" s="3"/>
      <c r="O9" s="3"/>
      <c r="P9" s="3"/>
      <c r="Q9" s="3"/>
      <c r="R9" s="3"/>
      <c r="S9" s="3"/>
      <c r="T9" s="3"/>
      <c r="U9" s="3"/>
      <c r="V9" s="3"/>
      <c r="W9" s="3"/>
    </row>
    <row r="10" spans="1:23" x14ac:dyDescent="0.3">
      <c r="A10" s="3"/>
      <c r="B10" s="3"/>
      <c r="C10" s="3"/>
      <c r="D10" s="3"/>
      <c r="E10" s="3"/>
      <c r="F10" s="3"/>
      <c r="G10" s="3"/>
      <c r="H10" s="3"/>
      <c r="I10" s="3"/>
      <c r="J10" s="3"/>
      <c r="K10" s="3"/>
      <c r="L10" s="3"/>
      <c r="M10" s="3"/>
      <c r="N10" s="3"/>
      <c r="O10" s="3"/>
      <c r="P10" s="3"/>
      <c r="Q10" s="3"/>
      <c r="R10" s="3"/>
      <c r="S10" s="3"/>
      <c r="T10" s="3"/>
      <c r="U10" s="3"/>
      <c r="V10" s="3"/>
      <c r="W10" s="3"/>
    </row>
    <row r="11" spans="1:23" x14ac:dyDescent="0.3">
      <c r="A11" s="3"/>
      <c r="B11" s="3"/>
      <c r="C11" s="3"/>
      <c r="D11" s="3"/>
      <c r="E11" s="3"/>
      <c r="F11" s="3"/>
      <c r="G11" s="3"/>
      <c r="H11" s="3"/>
      <c r="I11" s="3"/>
      <c r="J11" s="3"/>
      <c r="K11" s="3"/>
      <c r="L11" s="3"/>
      <c r="M11" s="3"/>
      <c r="N11" s="3"/>
      <c r="O11" s="3"/>
      <c r="P11" s="3"/>
      <c r="Q11" s="3"/>
      <c r="R11" s="3"/>
      <c r="S11" s="3"/>
      <c r="T11" s="3"/>
      <c r="U11" s="3"/>
      <c r="V11" s="3"/>
      <c r="W11" s="3"/>
    </row>
    <row r="12" spans="1:23" x14ac:dyDescent="0.3">
      <c r="A12" s="3"/>
      <c r="B12" s="3"/>
      <c r="C12" s="3"/>
      <c r="D12" s="3"/>
      <c r="E12" s="3"/>
      <c r="F12" s="3"/>
      <c r="G12" s="3"/>
      <c r="H12" s="3"/>
      <c r="I12" s="3"/>
      <c r="J12" s="3"/>
      <c r="K12" s="3"/>
      <c r="L12" s="3"/>
      <c r="M12" s="3"/>
      <c r="N12" s="3"/>
      <c r="O12" s="3"/>
      <c r="P12" s="3"/>
      <c r="Q12" s="3"/>
      <c r="R12" s="3"/>
      <c r="S12" s="3"/>
      <c r="T12" s="3"/>
      <c r="U12" s="3"/>
      <c r="V12" s="3"/>
      <c r="W12" s="3"/>
    </row>
    <row r="13" spans="1:23" x14ac:dyDescent="0.3">
      <c r="A13" s="3"/>
      <c r="B13" s="3"/>
      <c r="C13" s="3"/>
      <c r="D13" s="3"/>
      <c r="E13" s="3"/>
      <c r="F13" s="3"/>
      <c r="G13" s="3"/>
      <c r="H13" s="3"/>
      <c r="I13" s="3"/>
      <c r="J13" s="3"/>
      <c r="K13" s="3"/>
      <c r="L13" s="3"/>
      <c r="M13" s="3"/>
      <c r="N13" s="3"/>
      <c r="O13" s="3"/>
      <c r="P13" s="3"/>
      <c r="Q13" s="3"/>
      <c r="R13" s="3"/>
      <c r="S13" s="3"/>
      <c r="T13" s="3"/>
      <c r="U13" s="3"/>
      <c r="V13" s="3"/>
      <c r="W13" s="3"/>
    </row>
    <row r="14" spans="1:23" x14ac:dyDescent="0.3">
      <c r="A14" s="3"/>
      <c r="B14" s="3"/>
      <c r="C14" s="3"/>
      <c r="D14" s="3"/>
      <c r="E14" s="3"/>
      <c r="F14" s="3"/>
      <c r="G14" s="3"/>
      <c r="H14" s="3"/>
      <c r="I14" s="3"/>
      <c r="J14" s="3"/>
      <c r="K14" s="3"/>
      <c r="L14" s="3"/>
      <c r="M14" s="3"/>
      <c r="N14" s="3"/>
      <c r="O14" s="3"/>
      <c r="P14" s="3"/>
      <c r="Q14" s="3"/>
      <c r="R14" s="3"/>
      <c r="S14" s="3"/>
      <c r="T14" s="3"/>
      <c r="U14" s="3"/>
      <c r="V14" s="3"/>
      <c r="W14" s="3"/>
    </row>
    <row r="15" spans="1:23" x14ac:dyDescent="0.3">
      <c r="A15" s="3"/>
      <c r="B15" s="3"/>
      <c r="C15" s="3"/>
      <c r="D15" s="3"/>
      <c r="E15" s="3"/>
      <c r="F15" s="3"/>
      <c r="G15" s="3"/>
      <c r="H15" s="3"/>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x14ac:dyDescent="0.3">
      <c r="A18" s="3"/>
      <c r="B18" s="3"/>
      <c r="C18" s="3"/>
      <c r="D18" s="3"/>
      <c r="E18" s="3"/>
      <c r="F18" s="3"/>
      <c r="G18" s="3"/>
      <c r="H18" s="3"/>
      <c r="I18" s="3"/>
      <c r="J18" s="3"/>
      <c r="K18" s="3"/>
      <c r="L18" s="3"/>
      <c r="M18" s="3"/>
      <c r="N18" s="3"/>
      <c r="O18" s="3"/>
      <c r="P18" s="3"/>
      <c r="Q18" s="3"/>
      <c r="R18" s="3"/>
      <c r="S18" s="3"/>
      <c r="T18" s="3"/>
      <c r="U18" s="3"/>
      <c r="V18" s="3"/>
      <c r="W18" s="3"/>
    </row>
    <row r="19" spans="1:23" x14ac:dyDescent="0.3">
      <c r="A19" s="3"/>
      <c r="B19" s="3"/>
      <c r="C19" s="3"/>
      <c r="D19" s="3"/>
      <c r="E19" s="3"/>
      <c r="F19" s="3"/>
      <c r="G19" s="3"/>
      <c r="H19" s="3"/>
      <c r="I19" s="3"/>
      <c r="J19" s="3"/>
      <c r="K19" s="3"/>
      <c r="L19" s="3"/>
      <c r="M19" s="3"/>
      <c r="N19" s="3"/>
      <c r="O19" s="3"/>
      <c r="P19" s="3"/>
      <c r="Q19" s="3"/>
      <c r="R19" s="3"/>
      <c r="S19" s="3"/>
      <c r="T19" s="3"/>
      <c r="U19" s="3"/>
      <c r="V19" s="3"/>
      <c r="W19" s="3"/>
    </row>
    <row r="20" spans="1:23" x14ac:dyDescent="0.3">
      <c r="A20" s="3"/>
      <c r="B20" s="3"/>
      <c r="C20" s="3"/>
      <c r="D20" s="3"/>
      <c r="E20" s="3"/>
      <c r="F20" s="3"/>
      <c r="G20" s="3"/>
      <c r="H20" s="3"/>
      <c r="I20" s="3"/>
      <c r="J20" s="3"/>
      <c r="K20" s="3"/>
      <c r="L20" s="3"/>
      <c r="M20" s="3"/>
      <c r="N20" s="3"/>
      <c r="O20" s="3"/>
      <c r="P20" s="3"/>
      <c r="Q20" s="3"/>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E22" s="3"/>
      <c r="F22" s="3"/>
      <c r="G22" s="3"/>
      <c r="H22" s="3"/>
      <c r="I22" s="3"/>
      <c r="J22" s="3"/>
      <c r="K22" s="3"/>
      <c r="L22" s="3"/>
      <c r="M22" s="3"/>
      <c r="N22" s="3"/>
      <c r="O22" s="3"/>
      <c r="P22" s="3"/>
      <c r="Q22" s="3"/>
      <c r="R22" s="3"/>
      <c r="S22" s="3"/>
      <c r="T22" s="3"/>
      <c r="U22" s="3"/>
      <c r="V22" s="3"/>
      <c r="W22" s="3"/>
    </row>
    <row r="23" spans="1:23" x14ac:dyDescent="0.3">
      <c r="A23" s="3"/>
      <c r="B23" s="3"/>
      <c r="C23" s="3"/>
      <c r="D23" s="3"/>
      <c r="E23" s="3"/>
      <c r="F23" s="3"/>
      <c r="G23" s="3"/>
      <c r="H23" s="3"/>
      <c r="I23" s="3"/>
      <c r="J23" s="3"/>
      <c r="K23" s="3"/>
      <c r="L23" s="3"/>
      <c r="M23" s="3"/>
      <c r="N23" s="3"/>
      <c r="O23" s="3"/>
      <c r="P23" s="3"/>
      <c r="Q23" s="3"/>
      <c r="R23" s="3"/>
      <c r="S23" s="3"/>
      <c r="T23" s="3"/>
      <c r="U23" s="3"/>
      <c r="V23" s="3"/>
      <c r="W23" s="3"/>
    </row>
    <row r="24" spans="1:23" x14ac:dyDescent="0.3">
      <c r="A24" s="3"/>
      <c r="B24" s="3"/>
      <c r="C24" s="3"/>
      <c r="D24" s="3"/>
      <c r="E24" s="3"/>
      <c r="F24" s="3"/>
      <c r="G24" s="3"/>
      <c r="H24" s="3"/>
      <c r="I24" s="3"/>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x14ac:dyDescent="0.3">
      <c r="A27" s="3"/>
      <c r="B27" s="3"/>
      <c r="C27" s="3"/>
      <c r="D27" s="3"/>
      <c r="E27" s="3"/>
      <c r="F27" s="3"/>
      <c r="G27" s="3"/>
      <c r="H27" s="3"/>
      <c r="I27" s="3"/>
      <c r="J27" s="3"/>
      <c r="K27" s="3"/>
      <c r="L27" s="3"/>
      <c r="M27" s="3"/>
      <c r="N27" s="3"/>
      <c r="O27" s="3"/>
      <c r="P27" s="3"/>
      <c r="Q27" s="3"/>
      <c r="R27" s="3"/>
      <c r="S27" s="3"/>
      <c r="T27" s="3"/>
      <c r="U27" s="3"/>
      <c r="V27" s="3"/>
      <c r="W27"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4BB52FFE-0BB4-4F85-8A61-8E455E792A3B}">
  <ds:schemaRefs/>
</ds:datastoreItem>
</file>

<file path=customXml/itemProps2.xml><?xml version="1.0" encoding="utf-8"?>
<ds:datastoreItem xmlns:ds="http://schemas.openxmlformats.org/officeDocument/2006/customXml" ds:itemID="{06E048ED-E271-47C6-888F-610F9C72EE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Vaishali Gautam</dc:creator>
  <cp:lastModifiedBy>Vaishali Gautam</cp:lastModifiedBy>
  <dcterms:created xsi:type="dcterms:W3CDTF">2025-11-29T10:37:53Z</dcterms:created>
  <dcterms:modified xsi:type="dcterms:W3CDTF">2025-12-23T09:49:01Z</dcterms:modified>
</cp:coreProperties>
</file>